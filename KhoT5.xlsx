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anhOK\ExportHD\"/>
    </mc:Choice>
  </mc:AlternateContent>
  <xr:revisionPtr revIDLastSave="0" documentId="8_{13C5E1E1-921D-4595-AA49-3AE7D93EB789}" xr6:coauthVersionLast="47" xr6:coauthVersionMax="47" xr10:uidLastSave="{00000000-0000-0000-0000-000000000000}"/>
  <bookViews>
    <workbookView xWindow="-120" yWindow="-120" windowWidth="29040" windowHeight="15840" xr2:uid="{2E26F21F-2CC2-412B-B0FD-3A4F4EB8A277}"/>
  </bookViews>
  <sheets>
    <sheet name="Kho xuất" sheetId="1" r:id="rId1"/>
  </sheets>
  <definedNames>
    <definedName name="_xlnm._FilterDatabase" localSheetId="0" hidden="1">'Kho xuất'!$A$3:$J$3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6" i="1" l="1"/>
  <c r="F56" i="1"/>
  <c r="H55" i="1"/>
  <c r="H54" i="1"/>
  <c r="F53" i="1"/>
  <c r="H53" i="1" s="1"/>
  <c r="F52" i="1"/>
  <c r="H52" i="1" s="1"/>
  <c r="F51" i="1"/>
  <c r="H51" i="1" s="1"/>
  <c r="F50" i="1"/>
  <c r="H50" i="1" s="1"/>
  <c r="H49" i="1"/>
  <c r="F49" i="1"/>
  <c r="F48" i="1"/>
  <c r="H48" i="1" s="1"/>
  <c r="F47" i="1"/>
  <c r="H47" i="1" s="1"/>
  <c r="F46" i="1"/>
  <c r="H46" i="1" s="1"/>
  <c r="F45" i="1"/>
  <c r="H45" i="1" s="1"/>
  <c r="F44" i="1"/>
  <c r="H44" i="1" s="1"/>
  <c r="H43" i="1"/>
  <c r="F43" i="1"/>
  <c r="F42" i="1"/>
  <c r="H42" i="1" s="1"/>
  <c r="F41" i="1"/>
  <c r="H41" i="1" s="1"/>
  <c r="F40" i="1"/>
  <c r="H40" i="1" s="1"/>
  <c r="F39" i="1"/>
  <c r="H39" i="1" s="1"/>
  <c r="F38" i="1"/>
  <c r="H38" i="1" s="1"/>
  <c r="H37" i="1"/>
  <c r="F37" i="1"/>
  <c r="F36" i="1"/>
  <c r="H36" i="1" s="1"/>
  <c r="F35" i="1"/>
  <c r="H35" i="1" s="1"/>
  <c r="F34" i="1"/>
  <c r="H34" i="1" s="1"/>
  <c r="F33" i="1"/>
  <c r="H33" i="1" s="1"/>
  <c r="F32" i="1"/>
  <c r="H32" i="1" s="1"/>
  <c r="H31" i="1"/>
  <c r="F31" i="1"/>
  <c r="F30" i="1"/>
  <c r="H30" i="1" s="1"/>
  <c r="F29" i="1"/>
  <c r="H29" i="1" s="1"/>
  <c r="F28" i="1"/>
  <c r="H28" i="1" s="1"/>
  <c r="F27" i="1"/>
  <c r="H27" i="1" s="1"/>
  <c r="F26" i="1"/>
  <c r="H26" i="1" s="1"/>
  <c r="H25" i="1"/>
  <c r="F25" i="1"/>
  <c r="F24" i="1"/>
  <c r="H24" i="1" s="1"/>
  <c r="F23" i="1"/>
  <c r="H23" i="1" s="1"/>
  <c r="F22" i="1"/>
  <c r="H22" i="1" s="1"/>
  <c r="F21" i="1"/>
  <c r="H21" i="1" s="1"/>
  <c r="F20" i="1"/>
  <c r="H20" i="1" s="1"/>
  <c r="H19" i="1"/>
  <c r="F19" i="1"/>
  <c r="F18" i="1"/>
  <c r="H18" i="1" s="1"/>
  <c r="F17" i="1"/>
  <c r="H17" i="1" s="1"/>
  <c r="F16" i="1"/>
  <c r="H16" i="1" s="1"/>
  <c r="F15" i="1"/>
  <c r="H15" i="1" s="1"/>
  <c r="F14" i="1"/>
  <c r="H14" i="1" s="1"/>
  <c r="H13" i="1"/>
  <c r="F13" i="1"/>
  <c r="F12" i="1"/>
  <c r="H12" i="1" s="1"/>
  <c r="F11" i="1"/>
  <c r="H11" i="1" s="1"/>
  <c r="F10" i="1"/>
  <c r="H10" i="1" s="1"/>
  <c r="F9" i="1"/>
  <c r="H9" i="1" s="1"/>
  <c r="F8" i="1"/>
  <c r="H8" i="1" s="1"/>
  <c r="H7" i="1"/>
  <c r="F7" i="1"/>
  <c r="F6" i="1"/>
  <c r="H6" i="1" s="1"/>
  <c r="F5" i="1"/>
  <c r="H5" i="1" s="1"/>
  <c r="F4" i="1"/>
  <c r="H4" i="1" s="1"/>
  <c r="T2" i="1"/>
  <c r="S2" i="1"/>
  <c r="R2" i="1"/>
  <c r="Q2" i="1"/>
  <c r="P2" i="1"/>
  <c r="O2" i="1"/>
  <c r="N2" i="1"/>
  <c r="M2" i="1"/>
  <c r="L2" i="1"/>
  <c r="K2" i="1"/>
  <c r="J2" i="1"/>
</calcChain>
</file>

<file path=xl/sharedStrings.xml><?xml version="1.0" encoding="utf-8"?>
<sst xmlns="http://schemas.openxmlformats.org/spreadsheetml/2006/main" count="166" uniqueCount="127">
  <si>
    <t>Mã hàng</t>
  </si>
  <si>
    <t>Tên hàng</t>
  </si>
  <si>
    <t>ĐVT</t>
  </si>
  <si>
    <t>Số lượng</t>
  </si>
  <si>
    <t>Quy đổi</t>
  </si>
  <si>
    <t>SL quy đổi</t>
  </si>
  <si>
    <t>Giá trị</t>
  </si>
  <si>
    <t>Giá vốn</t>
  </si>
  <si>
    <t>Giá bán chốt</t>
  </si>
  <si>
    <t>BANHSNACK</t>
  </si>
  <si>
    <t>Bánh snack bắp 40g Vfoods</t>
  </si>
  <si>
    <t>Gói</t>
  </si>
  <si>
    <t>TLTHANGLONGTH</t>
  </si>
  <si>
    <t>Thuốc lá điếu Thăng Long hộp thiếc</t>
  </si>
  <si>
    <t>Bao</t>
  </si>
  <si>
    <t>changacay80g</t>
  </si>
  <si>
    <t>Chân gà cay 80g</t>
  </si>
  <si>
    <t>DECUOI70</t>
  </si>
  <si>
    <t>Hạt dẻ cười 70 gram</t>
  </si>
  <si>
    <t>IONVIE500</t>
  </si>
  <si>
    <t>Nước uống ion kiềm IONVie, 500ml * 20 chai</t>
  </si>
  <si>
    <t>Thùng</t>
  </si>
  <si>
    <t>XXPONNIE</t>
  </si>
  <si>
    <t>Xúc xích tiệt trùng Ponnie Thịt phô mai 4hộp x 12cây x 45gr</t>
  </si>
  <si>
    <t>Hộp</t>
  </si>
  <si>
    <t>tratac</t>
  </si>
  <si>
    <t>Trà tắc mật ong (Nhãn hiệu Cozy) (Tết 320ml)</t>
  </si>
  <si>
    <t>Lon</t>
  </si>
  <si>
    <t>Hotdog Ponnie</t>
  </si>
  <si>
    <t>Hotdog Ponnie giòn ăn liền vị cay 4hộp x 20gói x 28gr</t>
  </si>
  <si>
    <t>TraWanglaoji</t>
  </si>
  <si>
    <t>Trà thảo mộc Wanglaoji 310ml/lon, 24 lon/ thùng</t>
  </si>
  <si>
    <t>LAVIE500TH</t>
  </si>
  <si>
    <t>Lavie 500ml</t>
  </si>
  <si>
    <t>IONVIE350</t>
  </si>
  <si>
    <t>Nước uống ion kiềm IONVie, 350ml * 24 chai</t>
  </si>
  <si>
    <t>TLBM</t>
  </si>
  <si>
    <t>Thăng Long B.M</t>
  </si>
  <si>
    <t>NUOCOFAN350</t>
  </si>
  <si>
    <t>Nước ION kiềm OFAN 350ml (Thùng 24 chai)</t>
  </si>
  <si>
    <t>DECUOI60</t>
  </si>
  <si>
    <t>Hạt dẻ cười 60 gram</t>
  </si>
  <si>
    <t>xí muội</t>
  </si>
  <si>
    <t>Xí muội mận không hạt chua ngọt 65g</t>
  </si>
  <si>
    <t>TLĐCCC</t>
  </si>
  <si>
    <t>Thuốc lá điếu đầu lọc Camel Compact Caster</t>
  </si>
  <si>
    <t>RUOUVANGDO</t>
  </si>
  <si>
    <t>Rượu vang đỏ Luccarelli Negroamaro 750ml</t>
  </si>
  <si>
    <t>Chai</t>
  </si>
  <si>
    <t>TL555SB</t>
  </si>
  <si>
    <t>Thuốc lá 555 Signature Blue</t>
  </si>
  <si>
    <t>TLDSLIM</t>
  </si>
  <si>
    <t>Thuốc lá điếu Thăng long Slim</t>
  </si>
  <si>
    <t>CHANGA28G</t>
  </si>
  <si>
    <t>Chân Gà Rút Xương 28g (Thùng = 240 gói)</t>
  </si>
  <si>
    <t>TLBC</t>
  </si>
  <si>
    <t>Thăng Long B.C</t>
  </si>
  <si>
    <t>TLSLIM</t>
  </si>
  <si>
    <t>Thăng long Slim bao cứng</t>
  </si>
  <si>
    <t>QUYTRAXANH</t>
  </si>
  <si>
    <t>BÁNH QUY QUE VỊ TRÀ XANH 36G (CHOCO007)</t>
  </si>
  <si>
    <t>QUYVIETQUAT</t>
  </si>
  <si>
    <t>BÁNH QUY QUE VỊ VIỆT QUẤT 36G (CHOCO008)</t>
  </si>
  <si>
    <t>saubaotu</t>
  </si>
  <si>
    <t>Sấu bao tử 100gg</t>
  </si>
  <si>
    <t>bkm</t>
  </si>
  <si>
    <t>Bò khô miếng 32g</t>
  </si>
  <si>
    <t>mohonglam</t>
  </si>
  <si>
    <t>Mơ Hồng Lam 5 60g</t>
  </si>
  <si>
    <t>YENSANESTTH</t>
  </si>
  <si>
    <t>Nước yến Sanest lon T x 190ml</t>
  </si>
  <si>
    <t>KHOAILANGSAY</t>
  </si>
  <si>
    <t>ONENUTS Khoai Lang Sấy Vị Mật ong 70g</t>
  </si>
  <si>
    <t>CAMELBT</t>
  </si>
  <si>
    <t>Thuốc lá điếu đầu lọc Camel Caster Black Tea</t>
  </si>
  <si>
    <t>Hạt macadamia</t>
  </si>
  <si>
    <t>Hạt macadamia chưa tách vỏ, đã qua chế biến ( DO TQSX)</t>
  </si>
  <si>
    <t>kg</t>
  </si>
  <si>
    <t>HATDECUOIRM</t>
  </si>
  <si>
    <t>Hạt dẻ cười rang muối</t>
  </si>
  <si>
    <t>DOSIDAHEO</t>
  </si>
  <si>
    <t>DOSI Da Heo Cháy Tỏi Vị Thịt Nướng BBQ Hàn Quốc 30g</t>
  </si>
  <si>
    <t>BIM2PM</t>
  </si>
  <si>
    <t>Lay's Wavy vi Pho Mai Cheddar 28g 16x10</t>
  </si>
  <si>
    <t>BIM2VIMUOI</t>
  </si>
  <si>
    <t>Lay's Wavy vi muoi nguyen ban 30G 16X10</t>
  </si>
  <si>
    <t>NUOCYEN3VI</t>
  </si>
  <si>
    <t>Nước yến 3 vị</t>
  </si>
  <si>
    <t>hũ</t>
  </si>
  <si>
    <t>TRUNGALACO</t>
  </si>
  <si>
    <t>Trứng cút vị muối nướng Alaco 45g</t>
  </si>
  <si>
    <t>BANHYAN2coc</t>
  </si>
  <si>
    <t>Bánh Yan Yan 44gr, 50gr</t>
  </si>
  <si>
    <t>cốc</t>
  </si>
  <si>
    <t>Bia crystal250</t>
  </si>
  <si>
    <t>Bia Tiger Crystal 250x24 SLK Ctn 13</t>
  </si>
  <si>
    <t>LAVIE350TH</t>
  </si>
  <si>
    <t>Lavie 350ml</t>
  </si>
  <si>
    <t>BANHPEANUT45G</t>
  </si>
  <si>
    <t>Bánh xốp Loacker ClassicPeanut Butter 45g</t>
  </si>
  <si>
    <t>Thanh</t>
  </si>
  <si>
    <t>TLĐTL</t>
  </si>
  <si>
    <t xml:space="preserve">Thuốc lá điếu Thăng Long </t>
  </si>
  <si>
    <t>DOSIQUAY</t>
  </si>
  <si>
    <t>DOSI Snack Quẩy Xoắn Vị Chua Cay 80g</t>
  </si>
  <si>
    <t>BANH XOP</t>
  </si>
  <si>
    <t>Bánh xốp classic 45g</t>
  </si>
  <si>
    <t>bomiengto60g</t>
  </si>
  <si>
    <t>Bò miếng to 60g</t>
  </si>
  <si>
    <t>YENMIXVI</t>
  </si>
  <si>
    <t>Yến chưng mix vị</t>
  </si>
  <si>
    <t>DOSITOPMO</t>
  </si>
  <si>
    <t>DOSI Tóp mỡ cuộn cháy tỏi 30g</t>
  </si>
  <si>
    <t>SWEAT350</t>
  </si>
  <si>
    <t>Thức uống bổ sung ION POCARI SWEAT chai 350ML</t>
  </si>
  <si>
    <t>BANHXOPKEM</t>
  </si>
  <si>
    <t>Loacker Bánh Xốp Kem 45g</t>
  </si>
  <si>
    <t>BIASAIGONSL</t>
  </si>
  <si>
    <t>Bia chai Saigon Special 330ml</t>
  </si>
  <si>
    <t>Két</t>
  </si>
  <si>
    <t>TC</t>
  </si>
  <si>
    <t>Hoa quả thập cẩm</t>
  </si>
  <si>
    <t>TCTO</t>
  </si>
  <si>
    <t>Hoa quả thập cẩm (to)</t>
  </si>
  <si>
    <t>KHANV1020</t>
  </si>
  <si>
    <t>Khăn ướt in máy màng bạc V1020</t>
  </si>
  <si>
    <t>Cái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</si>
</sst>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7"/>
      <color rgb="FF000000"/>
      <name val="Microsoft Sans Serif"/>
      <family val="2"/>
    </font>
    <font>
      <b/>
      <sz val="7"/>
      <color rgb="FFFF0000"/>
      <name val="Microsoft Sans Serif"/>
      <family val="2"/>
      <charset val="163"/>
    </font>
    <font>
      <b/>
      <sz val="7"/>
      <color rgb="FF000000"/>
      <name val="Microsoft Sans Serif"/>
      <family val="2"/>
      <charset val="163"/>
    </font>
    <font>
      <b/>
      <sz val="11"/>
      <color theme="1"/>
      <name val="Calibri"/>
      <family val="2"/>
      <charset val="163"/>
      <scheme val="minor"/>
    </font>
    <font>
      <sz val="7"/>
      <name val="Microsoft Sans Serif"/>
      <family val="2"/>
    </font>
    <font>
      <sz val="7"/>
      <color rgb="FFFF0000"/>
      <name val="Microsoft Sans Serif"/>
      <family val="2"/>
    </font>
  </fonts>
  <fills count="6">
    <fill>
      <patternFill patternType="none"/>
    </fill>
    <fill>
      <patternFill patternType="gray125"/>
    </fill>
    <fill>
      <patternFill patternType="solid">
        <fgColor rgb="FFC2CFF8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  <border>
      <left style="thin">
        <color rgb="FF8DA1DE"/>
      </left>
      <right style="thin">
        <color rgb="FF8DA1DE"/>
      </right>
      <top/>
      <bottom style="thin">
        <color rgb="FF8DA1DE"/>
      </bottom>
      <diagonal/>
    </border>
    <border>
      <left style="thin">
        <color rgb="FF8DA1DE"/>
      </left>
      <right style="thin">
        <color rgb="FF8DA1DE"/>
      </right>
      <top/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1" fillId="2" borderId="2" xfId="0" applyFont="1" applyFill="1" applyBorder="1" applyAlignment="1">
      <alignment horizontal="center" vertical="center" wrapText="1"/>
    </xf>
    <xf numFmtId="40" fontId="2" fillId="2" borderId="1" xfId="0" applyNumberFormat="1" applyFont="1" applyFill="1" applyBorder="1" applyAlignment="1">
      <alignment horizontal="center" vertical="center" wrapText="1"/>
    </xf>
    <xf numFmtId="38" fontId="3" fillId="2" borderId="1" xfId="0" applyNumberFormat="1" applyFont="1" applyFill="1" applyBorder="1" applyAlignment="1">
      <alignment horizontal="center" vertical="center" wrapText="1"/>
    </xf>
    <xf numFmtId="38" fontId="3" fillId="2" borderId="3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4" fillId="0" borderId="0" xfId="0" applyFont="1"/>
    <xf numFmtId="0" fontId="5" fillId="5" borderId="4" xfId="0" applyFont="1" applyFill="1" applyBorder="1" applyAlignment="1">
      <alignment horizontal="left" vertical="center"/>
    </xf>
    <xf numFmtId="40" fontId="6" fillId="5" borderId="4" xfId="0" applyNumberFormat="1" applyFont="1" applyFill="1" applyBorder="1" applyAlignment="1">
      <alignment horizontal="right" vertical="center"/>
    </xf>
    <xf numFmtId="38" fontId="5" fillId="5" borderId="4" xfId="0" applyNumberFormat="1" applyFont="1" applyFill="1" applyBorder="1" applyAlignment="1">
      <alignment horizontal="right" vertical="center"/>
    </xf>
    <xf numFmtId="38" fontId="5" fillId="5" borderId="0" xfId="0" applyNumberFormat="1" applyFont="1" applyFill="1" applyAlignment="1">
      <alignment horizontal="right" vertical="center"/>
    </xf>
    <xf numFmtId="0" fontId="0" fillId="5" borderId="0" xfId="0" applyFill="1"/>
    <xf numFmtId="0" fontId="5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BFA60-874F-42C5-8B21-259C864460E6}">
  <dimension ref="A2:T56"/>
  <sheetViews>
    <sheetView tabSelected="1" zoomScale="115" zoomScaleNormal="115" workbookViewId="0">
      <pane ySplit="3" topLeftCell="A4" activePane="bottomLeft" state="frozen"/>
      <selection pane="bottomLeft" activeCell="M17" sqref="M17"/>
    </sheetView>
  </sheetViews>
  <sheetFormatPr defaultRowHeight="15" x14ac:dyDescent="0.25"/>
  <cols>
    <col min="1" max="1" width="17" customWidth="1"/>
    <col min="2" max="2" width="36.85546875" customWidth="1"/>
    <col min="3" max="3" width="17.140625" customWidth="1"/>
    <col min="4" max="4" width="12.85546875" customWidth="1"/>
    <col min="5" max="5" width="16.140625" customWidth="1"/>
    <col min="7" max="7" width="12.85546875" customWidth="1"/>
    <col min="8" max="8" width="14.28515625" customWidth="1"/>
    <col min="9" max="9" width="13.28515625" customWidth="1"/>
    <col min="10" max="10" width="6" customWidth="1"/>
    <col min="11" max="11" width="5.42578125" customWidth="1"/>
    <col min="12" max="12" width="6.7109375" customWidth="1"/>
    <col min="13" max="13" width="5.85546875" customWidth="1"/>
    <col min="14" max="14" width="6" customWidth="1"/>
    <col min="15" max="15" width="6.42578125" customWidth="1"/>
  </cols>
  <sheetData>
    <row r="2" spans="1:20" x14ac:dyDescent="0.25">
      <c r="A2" s="1" t="s">
        <v>0</v>
      </c>
      <c r="B2" s="1" t="s">
        <v>1</v>
      </c>
      <c r="C2" s="1" t="s">
        <v>2</v>
      </c>
      <c r="F2" s="2"/>
      <c r="I2" s="2"/>
      <c r="J2">
        <f>SUM(J4:J56)</f>
        <v>15</v>
      </c>
      <c r="K2">
        <f t="shared" ref="K2:T2" si="0">SUM(K4:K56)</f>
        <v>8</v>
      </c>
      <c r="L2">
        <f t="shared" si="0"/>
        <v>9</v>
      </c>
      <c r="M2">
        <f t="shared" si="0"/>
        <v>9</v>
      </c>
      <c r="N2">
        <f t="shared" si="0"/>
        <v>12</v>
      </c>
      <c r="O2">
        <f t="shared" si="0"/>
        <v>14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</row>
    <row r="3" spans="1:20" s="9" customFormat="1" x14ac:dyDescent="0.25">
      <c r="A3" s="3"/>
      <c r="B3" s="3"/>
      <c r="C3" s="3"/>
      <c r="D3" s="4" t="s">
        <v>3</v>
      </c>
      <c r="E3" s="4" t="s">
        <v>4</v>
      </c>
      <c r="F3" s="4" t="s">
        <v>5</v>
      </c>
      <c r="G3" s="5" t="s">
        <v>6</v>
      </c>
      <c r="H3" s="6" t="s">
        <v>7</v>
      </c>
      <c r="I3" s="6" t="s">
        <v>8</v>
      </c>
      <c r="J3" s="7">
        <v>1</v>
      </c>
      <c r="K3" s="8">
        <v>2</v>
      </c>
      <c r="L3" s="8">
        <v>3</v>
      </c>
      <c r="M3" s="8">
        <v>4</v>
      </c>
      <c r="N3" s="8">
        <v>5</v>
      </c>
      <c r="O3" s="8">
        <v>6</v>
      </c>
    </row>
    <row r="4" spans="1:20" x14ac:dyDescent="0.25">
      <c r="A4" s="10" t="s">
        <v>9</v>
      </c>
      <c r="B4" s="10" t="s">
        <v>10</v>
      </c>
      <c r="C4" s="10" t="s">
        <v>11</v>
      </c>
      <c r="D4" s="11">
        <v>20</v>
      </c>
      <c r="E4" s="11">
        <v>1</v>
      </c>
      <c r="F4" s="11">
        <f>D4*E4</f>
        <v>20</v>
      </c>
      <c r="G4" s="12">
        <v>165460</v>
      </c>
      <c r="H4" s="13">
        <f>G4/F4</f>
        <v>8273</v>
      </c>
      <c r="I4" s="14">
        <v>30000</v>
      </c>
    </row>
    <row r="5" spans="1:20" x14ac:dyDescent="0.25">
      <c r="A5" s="10" t="s">
        <v>12</v>
      </c>
      <c r="B5" s="10" t="s">
        <v>13</v>
      </c>
      <c r="C5" s="10" t="s">
        <v>14</v>
      </c>
      <c r="D5" s="11">
        <v>20</v>
      </c>
      <c r="E5" s="11">
        <v>1</v>
      </c>
      <c r="F5" s="11">
        <f t="shared" ref="F5:F53" si="1">D5*E5</f>
        <v>20</v>
      </c>
      <c r="G5" s="12">
        <v>498100</v>
      </c>
      <c r="H5" s="13">
        <f t="shared" ref="H5:H56" si="2">G5/F5</f>
        <v>24905</v>
      </c>
      <c r="I5" s="14">
        <v>80000</v>
      </c>
    </row>
    <row r="6" spans="1:20" x14ac:dyDescent="0.25">
      <c r="A6" s="10" t="s">
        <v>15</v>
      </c>
      <c r="B6" s="10" t="s">
        <v>16</v>
      </c>
      <c r="C6" s="10" t="s">
        <v>11</v>
      </c>
      <c r="D6" s="11">
        <v>22</v>
      </c>
      <c r="E6" s="11">
        <v>1</v>
      </c>
      <c r="F6" s="11">
        <f t="shared" si="1"/>
        <v>22</v>
      </c>
      <c r="G6" s="12">
        <v>563365</v>
      </c>
      <c r="H6" s="13">
        <f t="shared" si="2"/>
        <v>25607.5</v>
      </c>
      <c r="I6" s="14">
        <v>55000</v>
      </c>
      <c r="M6">
        <v>1</v>
      </c>
    </row>
    <row r="7" spans="1:20" x14ac:dyDescent="0.25">
      <c r="A7" s="10" t="s">
        <v>17</v>
      </c>
      <c r="B7" s="10" t="s">
        <v>18</v>
      </c>
      <c r="C7" s="10" t="s">
        <v>11</v>
      </c>
      <c r="D7" s="11">
        <v>47</v>
      </c>
      <c r="E7" s="11">
        <v>1</v>
      </c>
      <c r="F7" s="11">
        <f t="shared" si="1"/>
        <v>47</v>
      </c>
      <c r="G7" s="12">
        <v>1177740</v>
      </c>
      <c r="H7" s="13">
        <f t="shared" si="2"/>
        <v>25058.297872340427</v>
      </c>
      <c r="I7" s="14">
        <v>65000</v>
      </c>
    </row>
    <row r="8" spans="1:20" x14ac:dyDescent="0.25">
      <c r="A8" s="10" t="s">
        <v>19</v>
      </c>
      <c r="B8" s="10" t="s">
        <v>20</v>
      </c>
      <c r="C8" s="10" t="s">
        <v>21</v>
      </c>
      <c r="D8" s="11">
        <v>48.95</v>
      </c>
      <c r="E8" s="11">
        <v>20</v>
      </c>
      <c r="F8" s="11">
        <f t="shared" si="1"/>
        <v>979</v>
      </c>
      <c r="G8" s="12">
        <v>3172693</v>
      </c>
      <c r="H8" s="13">
        <f t="shared" si="2"/>
        <v>3240.7487231869254</v>
      </c>
      <c r="I8" s="14">
        <v>25000</v>
      </c>
    </row>
    <row r="9" spans="1:20" x14ac:dyDescent="0.25">
      <c r="A9" s="10" t="s">
        <v>22</v>
      </c>
      <c r="B9" s="10" t="s">
        <v>23</v>
      </c>
      <c r="C9" s="10" t="s">
        <v>24</v>
      </c>
      <c r="D9" s="11">
        <v>50</v>
      </c>
      <c r="E9" s="11">
        <v>12</v>
      </c>
      <c r="F9" s="11">
        <f t="shared" si="1"/>
        <v>600</v>
      </c>
      <c r="G9" s="12">
        <v>4444445</v>
      </c>
      <c r="H9" s="13">
        <f t="shared" si="2"/>
        <v>7407.4083333333338</v>
      </c>
      <c r="I9" s="14">
        <v>15000</v>
      </c>
    </row>
    <row r="10" spans="1:20" x14ac:dyDescent="0.25">
      <c r="A10" s="10" t="s">
        <v>25</v>
      </c>
      <c r="B10" s="10" t="s">
        <v>26</v>
      </c>
      <c r="C10" s="10" t="s">
        <v>27</v>
      </c>
      <c r="D10" s="11">
        <v>57</v>
      </c>
      <c r="E10" s="11">
        <v>1</v>
      </c>
      <c r="F10" s="11">
        <f t="shared" si="1"/>
        <v>57</v>
      </c>
      <c r="G10" s="12">
        <v>329859</v>
      </c>
      <c r="H10" s="13">
        <f t="shared" si="2"/>
        <v>5787</v>
      </c>
      <c r="I10" s="14">
        <v>40000</v>
      </c>
      <c r="L10">
        <v>1</v>
      </c>
    </row>
    <row r="11" spans="1:20" x14ac:dyDescent="0.25">
      <c r="A11" s="10" t="s">
        <v>28</v>
      </c>
      <c r="B11" s="10" t="s">
        <v>29</v>
      </c>
      <c r="C11" s="10" t="s">
        <v>24</v>
      </c>
      <c r="D11" s="11">
        <v>58.2</v>
      </c>
      <c r="E11" s="11">
        <v>20</v>
      </c>
      <c r="F11" s="11">
        <f t="shared" si="1"/>
        <v>1164</v>
      </c>
      <c r="G11" s="12">
        <v>5031754</v>
      </c>
      <c r="H11" s="13">
        <f t="shared" si="2"/>
        <v>4322.8127147766327</v>
      </c>
      <c r="I11" s="14">
        <v>15000</v>
      </c>
    </row>
    <row r="12" spans="1:20" x14ac:dyDescent="0.25">
      <c r="A12" s="10" t="s">
        <v>30</v>
      </c>
      <c r="B12" s="10" t="s">
        <v>31</v>
      </c>
      <c r="C12" s="10" t="s">
        <v>21</v>
      </c>
      <c r="D12" s="11">
        <v>62.17</v>
      </c>
      <c r="E12" s="11">
        <v>24</v>
      </c>
      <c r="F12" s="11">
        <f t="shared" si="1"/>
        <v>1492.08</v>
      </c>
      <c r="G12" s="12">
        <v>11868818</v>
      </c>
      <c r="H12" s="13">
        <f t="shared" si="2"/>
        <v>7954.5453326899369</v>
      </c>
      <c r="I12" s="14">
        <v>25000</v>
      </c>
    </row>
    <row r="13" spans="1:20" x14ac:dyDescent="0.25">
      <c r="A13" s="10" t="s">
        <v>32</v>
      </c>
      <c r="B13" s="10" t="s">
        <v>33</v>
      </c>
      <c r="C13" s="10" t="s">
        <v>21</v>
      </c>
      <c r="D13" s="11">
        <v>62.99</v>
      </c>
      <c r="E13" s="11">
        <v>24</v>
      </c>
      <c r="F13" s="11">
        <f t="shared" si="1"/>
        <v>1511.76</v>
      </c>
      <c r="G13" s="12">
        <v>4230583</v>
      </c>
      <c r="H13" s="13">
        <f t="shared" si="2"/>
        <v>2798.4488278562735</v>
      </c>
      <c r="I13" s="14">
        <v>25000</v>
      </c>
    </row>
    <row r="14" spans="1:20" x14ac:dyDescent="0.25">
      <c r="A14" s="10" t="s">
        <v>34</v>
      </c>
      <c r="B14" s="10" t="s">
        <v>35</v>
      </c>
      <c r="C14" s="10" t="s">
        <v>21</v>
      </c>
      <c r="D14" s="11">
        <v>64.010000000000005</v>
      </c>
      <c r="E14" s="11">
        <v>24</v>
      </c>
      <c r="F14" s="11">
        <f t="shared" si="1"/>
        <v>1536.2400000000002</v>
      </c>
      <c r="G14" s="12">
        <v>4148790</v>
      </c>
      <c r="H14" s="13">
        <f t="shared" si="2"/>
        <v>2700.6131854397745</v>
      </c>
      <c r="I14" s="14">
        <v>15000</v>
      </c>
    </row>
    <row r="15" spans="1:20" x14ac:dyDescent="0.25">
      <c r="A15" s="10" t="s">
        <v>36</v>
      </c>
      <c r="B15" s="10" t="s">
        <v>37</v>
      </c>
      <c r="C15" s="10" t="s">
        <v>14</v>
      </c>
      <c r="D15" s="11">
        <v>66</v>
      </c>
      <c r="E15" s="11">
        <v>1</v>
      </c>
      <c r="F15" s="11">
        <f t="shared" si="1"/>
        <v>66</v>
      </c>
      <c r="G15" s="12">
        <v>646470</v>
      </c>
      <c r="H15" s="13">
        <f t="shared" si="2"/>
        <v>9795</v>
      </c>
      <c r="I15" s="14">
        <v>50000</v>
      </c>
    </row>
    <row r="16" spans="1:20" x14ac:dyDescent="0.25">
      <c r="A16" s="10" t="s">
        <v>38</v>
      </c>
      <c r="B16" s="10" t="s">
        <v>39</v>
      </c>
      <c r="C16" s="10" t="s">
        <v>21</v>
      </c>
      <c r="D16" s="11">
        <v>69.959999999999994</v>
      </c>
      <c r="E16" s="11">
        <v>24</v>
      </c>
      <c r="F16" s="11">
        <f t="shared" si="1"/>
        <v>1679.04</v>
      </c>
      <c r="G16" s="12">
        <v>4534443</v>
      </c>
      <c r="H16" s="13">
        <f t="shared" si="2"/>
        <v>2700.6164236706691</v>
      </c>
      <c r="I16" s="14">
        <v>15000</v>
      </c>
    </row>
    <row r="17" spans="1:13" x14ac:dyDescent="0.25">
      <c r="A17" s="10" t="s">
        <v>40</v>
      </c>
      <c r="B17" s="10" t="s">
        <v>41</v>
      </c>
      <c r="C17" s="10" t="s">
        <v>11</v>
      </c>
      <c r="D17" s="11">
        <v>74</v>
      </c>
      <c r="E17" s="11">
        <v>1</v>
      </c>
      <c r="F17" s="11">
        <f t="shared" si="1"/>
        <v>74</v>
      </c>
      <c r="G17" s="12">
        <v>1998000</v>
      </c>
      <c r="H17" s="13">
        <f t="shared" si="2"/>
        <v>27000</v>
      </c>
      <c r="I17" s="14">
        <v>65000</v>
      </c>
    </row>
    <row r="18" spans="1:13" x14ac:dyDescent="0.25">
      <c r="A18" s="10" t="s">
        <v>42</v>
      </c>
      <c r="B18" s="10" t="s">
        <v>43</v>
      </c>
      <c r="C18" s="10" t="s">
        <v>11</v>
      </c>
      <c r="D18" s="11">
        <v>75</v>
      </c>
      <c r="E18" s="11">
        <v>1</v>
      </c>
      <c r="F18" s="11">
        <f t="shared" si="1"/>
        <v>75</v>
      </c>
      <c r="G18" s="12">
        <v>1748253</v>
      </c>
      <c r="H18" s="13">
        <f t="shared" si="2"/>
        <v>23310.04</v>
      </c>
      <c r="I18" s="14">
        <v>65000</v>
      </c>
      <c r="M18">
        <v>1</v>
      </c>
    </row>
    <row r="19" spans="1:13" x14ac:dyDescent="0.25">
      <c r="A19" s="10" t="s">
        <v>44</v>
      </c>
      <c r="B19" s="10" t="s">
        <v>45</v>
      </c>
      <c r="C19" s="10" t="s">
        <v>11</v>
      </c>
      <c r="D19" s="11">
        <v>78</v>
      </c>
      <c r="E19" s="11">
        <v>1</v>
      </c>
      <c r="F19" s="11">
        <f t="shared" si="1"/>
        <v>78</v>
      </c>
      <c r="G19" s="12">
        <v>1619277</v>
      </c>
      <c r="H19" s="13">
        <f t="shared" si="2"/>
        <v>20759.961538461539</v>
      </c>
      <c r="I19" s="14">
        <v>60000</v>
      </c>
    </row>
    <row r="20" spans="1:13" x14ac:dyDescent="0.25">
      <c r="A20" s="10" t="s">
        <v>46</v>
      </c>
      <c r="B20" s="10" t="s">
        <v>47</v>
      </c>
      <c r="C20" s="10" t="s">
        <v>48</v>
      </c>
      <c r="D20" s="11">
        <v>84</v>
      </c>
      <c r="E20" s="11">
        <v>1</v>
      </c>
      <c r="F20" s="11">
        <f t="shared" si="1"/>
        <v>84</v>
      </c>
      <c r="G20" s="12">
        <v>17640000</v>
      </c>
      <c r="H20" s="13">
        <f t="shared" si="2"/>
        <v>210000</v>
      </c>
      <c r="I20" s="14">
        <v>650000</v>
      </c>
    </row>
    <row r="21" spans="1:13" x14ac:dyDescent="0.25">
      <c r="A21" s="10" t="s">
        <v>49</v>
      </c>
      <c r="B21" s="10" t="s">
        <v>50</v>
      </c>
      <c r="C21" s="10" t="s">
        <v>14</v>
      </c>
      <c r="D21" s="11">
        <v>87</v>
      </c>
      <c r="E21" s="11">
        <v>1</v>
      </c>
      <c r="F21" s="11">
        <f t="shared" si="1"/>
        <v>87</v>
      </c>
      <c r="G21" s="12">
        <v>2958000</v>
      </c>
      <c r="H21" s="13">
        <f t="shared" si="2"/>
        <v>34000</v>
      </c>
      <c r="I21" s="14">
        <v>80000</v>
      </c>
    </row>
    <row r="22" spans="1:13" x14ac:dyDescent="0.25">
      <c r="A22" s="10" t="s">
        <v>51</v>
      </c>
      <c r="B22" s="10" t="s">
        <v>52</v>
      </c>
      <c r="C22" s="10" t="s">
        <v>14</v>
      </c>
      <c r="D22" s="11">
        <v>90</v>
      </c>
      <c r="E22" s="11">
        <v>1</v>
      </c>
      <c r="F22" s="11">
        <f t="shared" si="1"/>
        <v>90</v>
      </c>
      <c r="G22" s="12">
        <v>1161000</v>
      </c>
      <c r="H22" s="13">
        <f t="shared" si="2"/>
        <v>12900</v>
      </c>
      <c r="I22" s="14">
        <v>50000</v>
      </c>
    </row>
    <row r="23" spans="1:13" x14ac:dyDescent="0.25">
      <c r="A23" s="10" t="s">
        <v>53</v>
      </c>
      <c r="B23" s="10" t="s">
        <v>54</v>
      </c>
      <c r="C23" s="10" t="s">
        <v>11</v>
      </c>
      <c r="D23" s="11">
        <v>92</v>
      </c>
      <c r="E23" s="11">
        <v>1</v>
      </c>
      <c r="F23" s="11">
        <f t="shared" si="1"/>
        <v>92</v>
      </c>
      <c r="G23" s="12">
        <v>524400</v>
      </c>
      <c r="H23" s="13">
        <f t="shared" si="2"/>
        <v>5700</v>
      </c>
      <c r="I23" s="14">
        <v>20000</v>
      </c>
    </row>
    <row r="24" spans="1:13" x14ac:dyDescent="0.25">
      <c r="A24" s="10" t="s">
        <v>55</v>
      </c>
      <c r="B24" s="10" t="s">
        <v>56</v>
      </c>
      <c r="C24" s="10" t="s">
        <v>14</v>
      </c>
      <c r="D24" s="11">
        <v>100</v>
      </c>
      <c r="E24" s="11">
        <v>1</v>
      </c>
      <c r="F24" s="11">
        <f t="shared" si="1"/>
        <v>100</v>
      </c>
      <c r="G24" s="12">
        <v>1035070</v>
      </c>
      <c r="H24" s="13">
        <f t="shared" si="2"/>
        <v>10350.700000000001</v>
      </c>
      <c r="I24" s="14">
        <v>50000</v>
      </c>
    </row>
    <row r="25" spans="1:13" x14ac:dyDescent="0.25">
      <c r="A25" s="10" t="s">
        <v>57</v>
      </c>
      <c r="B25" s="10" t="s">
        <v>58</v>
      </c>
      <c r="C25" s="10" t="s">
        <v>14</v>
      </c>
      <c r="D25" s="11">
        <v>100</v>
      </c>
      <c r="E25" s="11">
        <v>1</v>
      </c>
      <c r="F25" s="11">
        <f t="shared" si="1"/>
        <v>100</v>
      </c>
      <c r="G25" s="12">
        <v>1104570</v>
      </c>
      <c r="H25" s="13">
        <f t="shared" si="2"/>
        <v>11045.7</v>
      </c>
      <c r="I25" s="14">
        <v>50000</v>
      </c>
    </row>
    <row r="26" spans="1:13" x14ac:dyDescent="0.25">
      <c r="A26" s="10" t="s">
        <v>59</v>
      </c>
      <c r="B26" s="10" t="s">
        <v>60</v>
      </c>
      <c r="C26" s="10" t="s">
        <v>24</v>
      </c>
      <c r="D26" s="11">
        <v>108</v>
      </c>
      <c r="E26" s="11">
        <v>1</v>
      </c>
      <c r="F26" s="11">
        <f t="shared" si="1"/>
        <v>108</v>
      </c>
      <c r="G26" s="12">
        <v>1216656</v>
      </c>
      <c r="H26" s="13">
        <f t="shared" si="2"/>
        <v>11265.333333333334</v>
      </c>
      <c r="I26" s="14">
        <v>40000</v>
      </c>
    </row>
    <row r="27" spans="1:13" x14ac:dyDescent="0.25">
      <c r="A27" s="10" t="s">
        <v>61</v>
      </c>
      <c r="B27" s="10" t="s">
        <v>62</v>
      </c>
      <c r="C27" s="10" t="s">
        <v>24</v>
      </c>
      <c r="D27" s="11">
        <v>108</v>
      </c>
      <c r="E27" s="11">
        <v>1</v>
      </c>
      <c r="F27" s="11">
        <f t="shared" si="1"/>
        <v>108</v>
      </c>
      <c r="G27" s="12">
        <v>1216656</v>
      </c>
      <c r="H27" s="13">
        <f t="shared" si="2"/>
        <v>11265.333333333334</v>
      </c>
      <c r="I27" s="14">
        <v>40000</v>
      </c>
    </row>
    <row r="28" spans="1:13" x14ac:dyDescent="0.25">
      <c r="A28" s="10" t="s">
        <v>63</v>
      </c>
      <c r="B28" s="10" t="s">
        <v>64</v>
      </c>
      <c r="C28" s="10" t="s">
        <v>11</v>
      </c>
      <c r="D28" s="11">
        <v>108</v>
      </c>
      <c r="E28" s="11">
        <v>1</v>
      </c>
      <c r="F28" s="11">
        <f t="shared" si="1"/>
        <v>108</v>
      </c>
      <c r="G28" s="12">
        <v>2400003</v>
      </c>
      <c r="H28" s="13">
        <f t="shared" si="2"/>
        <v>22222.25</v>
      </c>
      <c r="I28" s="14">
        <v>70000</v>
      </c>
    </row>
    <row r="29" spans="1:13" x14ac:dyDescent="0.25">
      <c r="A29" s="10" t="s">
        <v>65</v>
      </c>
      <c r="B29" s="10" t="s">
        <v>66</v>
      </c>
      <c r="C29" s="10" t="s">
        <v>11</v>
      </c>
      <c r="D29" s="11">
        <v>116</v>
      </c>
      <c r="E29" s="11">
        <v>1</v>
      </c>
      <c r="F29" s="11">
        <f t="shared" si="1"/>
        <v>116</v>
      </c>
      <c r="G29" s="12">
        <v>4445257</v>
      </c>
      <c r="H29" s="13">
        <f t="shared" si="2"/>
        <v>38321.181034482761</v>
      </c>
      <c r="I29" s="14">
        <v>65000</v>
      </c>
    </row>
    <row r="30" spans="1:13" x14ac:dyDescent="0.25">
      <c r="A30" s="10" t="s">
        <v>67</v>
      </c>
      <c r="B30" s="10" t="s">
        <v>68</v>
      </c>
      <c r="C30" s="10" t="s">
        <v>11</v>
      </c>
      <c r="D30" s="11">
        <v>140</v>
      </c>
      <c r="E30" s="11">
        <v>1</v>
      </c>
      <c r="F30" s="11">
        <f t="shared" si="1"/>
        <v>140</v>
      </c>
      <c r="G30" s="12">
        <v>3111118</v>
      </c>
      <c r="H30" s="13">
        <f t="shared" si="2"/>
        <v>22222.271428571428</v>
      </c>
      <c r="I30" s="14">
        <v>50000</v>
      </c>
    </row>
    <row r="31" spans="1:13" x14ac:dyDescent="0.25">
      <c r="A31" s="10" t="s">
        <v>69</v>
      </c>
      <c r="B31" s="10" t="s">
        <v>70</v>
      </c>
      <c r="C31" s="10" t="s">
        <v>21</v>
      </c>
      <c r="D31" s="11">
        <v>140.38</v>
      </c>
      <c r="E31" s="11">
        <v>30</v>
      </c>
      <c r="F31" s="11">
        <f t="shared" si="1"/>
        <v>4211.3999999999996</v>
      </c>
      <c r="G31" s="12">
        <v>29695196</v>
      </c>
      <c r="H31" s="13">
        <f t="shared" si="2"/>
        <v>7051.1459372180279</v>
      </c>
      <c r="I31" s="14">
        <v>30000</v>
      </c>
    </row>
    <row r="32" spans="1:13" x14ac:dyDescent="0.25">
      <c r="A32" s="10" t="s">
        <v>71</v>
      </c>
      <c r="B32" s="10" t="s">
        <v>72</v>
      </c>
      <c r="C32" s="10" t="s">
        <v>24</v>
      </c>
      <c r="D32" s="11">
        <v>142</v>
      </c>
      <c r="E32" s="11">
        <v>1</v>
      </c>
      <c r="F32" s="11">
        <f t="shared" si="1"/>
        <v>142</v>
      </c>
      <c r="G32" s="12">
        <v>2184927</v>
      </c>
      <c r="H32" s="13">
        <f t="shared" si="2"/>
        <v>15386.80985915493</v>
      </c>
      <c r="I32" s="14">
        <v>50000</v>
      </c>
    </row>
    <row r="33" spans="1:15" x14ac:dyDescent="0.25">
      <c r="A33" s="10" t="s">
        <v>73</v>
      </c>
      <c r="B33" s="10" t="s">
        <v>74</v>
      </c>
      <c r="C33" s="10" t="s">
        <v>14</v>
      </c>
      <c r="D33" s="11">
        <v>179</v>
      </c>
      <c r="E33" s="11">
        <v>1</v>
      </c>
      <c r="F33" s="11">
        <f t="shared" si="1"/>
        <v>179</v>
      </c>
      <c r="G33" s="12">
        <v>6150232</v>
      </c>
      <c r="H33" s="13">
        <f t="shared" si="2"/>
        <v>34358.837988826817</v>
      </c>
      <c r="I33" s="14">
        <v>80000</v>
      </c>
    </row>
    <row r="34" spans="1:15" x14ac:dyDescent="0.25">
      <c r="A34" s="10" t="s">
        <v>75</v>
      </c>
      <c r="B34" s="10" t="s">
        <v>76</v>
      </c>
      <c r="C34" s="10" t="s">
        <v>77</v>
      </c>
      <c r="D34" s="11">
        <v>182.19</v>
      </c>
      <c r="E34" s="11">
        <v>1</v>
      </c>
      <c r="F34" s="11">
        <f t="shared" si="1"/>
        <v>182.19</v>
      </c>
      <c r="G34" s="12">
        <v>16860061</v>
      </c>
      <c r="H34" s="13">
        <f t="shared" si="2"/>
        <v>92541.088973050108</v>
      </c>
      <c r="I34" s="14">
        <v>65000</v>
      </c>
    </row>
    <row r="35" spans="1:15" x14ac:dyDescent="0.25">
      <c r="A35" s="10" t="s">
        <v>78</v>
      </c>
      <c r="B35" s="10" t="s">
        <v>79</v>
      </c>
      <c r="C35" s="10" t="s">
        <v>11</v>
      </c>
      <c r="D35" s="11">
        <v>198</v>
      </c>
      <c r="E35" s="11">
        <v>1</v>
      </c>
      <c r="F35" s="11">
        <f t="shared" si="1"/>
        <v>198</v>
      </c>
      <c r="G35" s="12">
        <v>2272446</v>
      </c>
      <c r="H35" s="13">
        <f t="shared" si="2"/>
        <v>11477</v>
      </c>
      <c r="I35" s="14">
        <v>40000</v>
      </c>
      <c r="O35">
        <v>1</v>
      </c>
    </row>
    <row r="36" spans="1:15" x14ac:dyDescent="0.25">
      <c r="A36" s="10" t="s">
        <v>80</v>
      </c>
      <c r="B36" s="10" t="s">
        <v>81</v>
      </c>
      <c r="C36" s="10" t="s">
        <v>11</v>
      </c>
      <c r="D36" s="11">
        <v>219</v>
      </c>
      <c r="E36" s="11">
        <v>1</v>
      </c>
      <c r="F36" s="11">
        <f t="shared" si="1"/>
        <v>219</v>
      </c>
      <c r="G36" s="12">
        <v>2278476</v>
      </c>
      <c r="H36" s="13">
        <f t="shared" si="2"/>
        <v>10404</v>
      </c>
      <c r="I36" s="14">
        <v>40000</v>
      </c>
      <c r="O36">
        <v>2</v>
      </c>
    </row>
    <row r="37" spans="1:15" x14ac:dyDescent="0.25">
      <c r="A37" s="10" t="s">
        <v>82</v>
      </c>
      <c r="B37" s="10" t="s">
        <v>83</v>
      </c>
      <c r="C37" s="10" t="s">
        <v>11</v>
      </c>
      <c r="D37" s="11">
        <v>250</v>
      </c>
      <c r="E37" s="11">
        <v>1</v>
      </c>
      <c r="F37" s="11">
        <f t="shared" si="1"/>
        <v>250</v>
      </c>
      <c r="G37" s="12">
        <v>1041668</v>
      </c>
      <c r="H37" s="13">
        <f t="shared" si="2"/>
        <v>4166.6719999999996</v>
      </c>
      <c r="I37" s="14">
        <v>15000</v>
      </c>
    </row>
    <row r="38" spans="1:15" x14ac:dyDescent="0.25">
      <c r="A38" s="10" t="s">
        <v>84</v>
      </c>
      <c r="B38" s="10" t="s">
        <v>85</v>
      </c>
      <c r="C38" s="10" t="s">
        <v>11</v>
      </c>
      <c r="D38" s="11">
        <v>250</v>
      </c>
      <c r="E38" s="11">
        <v>1</v>
      </c>
      <c r="F38" s="11">
        <f t="shared" si="1"/>
        <v>250</v>
      </c>
      <c r="G38" s="12">
        <v>1041668</v>
      </c>
      <c r="H38" s="13">
        <f t="shared" si="2"/>
        <v>4166.6719999999996</v>
      </c>
      <c r="I38" s="14">
        <v>15000</v>
      </c>
    </row>
    <row r="39" spans="1:15" x14ac:dyDescent="0.25">
      <c r="A39" s="10" t="s">
        <v>86</v>
      </c>
      <c r="B39" s="10" t="s">
        <v>87</v>
      </c>
      <c r="C39" s="10" t="s">
        <v>88</v>
      </c>
      <c r="D39" s="11">
        <v>263</v>
      </c>
      <c r="E39" s="11">
        <v>1</v>
      </c>
      <c r="F39" s="11">
        <f t="shared" si="1"/>
        <v>263</v>
      </c>
      <c r="G39" s="12">
        <v>6331482</v>
      </c>
      <c r="H39" s="13">
        <f t="shared" si="2"/>
        <v>24074.076045627375</v>
      </c>
      <c r="I39" s="14">
        <v>75000</v>
      </c>
    </row>
    <row r="40" spans="1:15" x14ac:dyDescent="0.25">
      <c r="A40" s="10" t="s">
        <v>89</v>
      </c>
      <c r="B40" s="10" t="s">
        <v>90</v>
      </c>
      <c r="C40" s="10" t="s">
        <v>11</v>
      </c>
      <c r="D40" s="11">
        <v>290</v>
      </c>
      <c r="E40" s="11">
        <v>1</v>
      </c>
      <c r="F40" s="11">
        <f t="shared" si="1"/>
        <v>290</v>
      </c>
      <c r="G40" s="12">
        <v>3223915</v>
      </c>
      <c r="H40" s="13">
        <f t="shared" si="2"/>
        <v>11116.948275862069</v>
      </c>
      <c r="I40" s="14">
        <v>35000</v>
      </c>
    </row>
    <row r="41" spans="1:15" x14ac:dyDescent="0.25">
      <c r="A41" s="10" t="s">
        <v>91</v>
      </c>
      <c r="B41" s="10" t="s">
        <v>92</v>
      </c>
      <c r="C41" s="10" t="s">
        <v>93</v>
      </c>
      <c r="D41" s="11">
        <v>314</v>
      </c>
      <c r="E41" s="11">
        <v>1</v>
      </c>
      <c r="F41" s="11">
        <f t="shared" si="1"/>
        <v>314</v>
      </c>
      <c r="G41" s="12">
        <v>4334018</v>
      </c>
      <c r="H41" s="13">
        <f t="shared" si="2"/>
        <v>13802.605095541401</v>
      </c>
      <c r="I41" s="14">
        <v>30000</v>
      </c>
    </row>
    <row r="42" spans="1:15" x14ac:dyDescent="0.25">
      <c r="A42" s="10" t="s">
        <v>94</v>
      </c>
      <c r="B42" s="10" t="s">
        <v>95</v>
      </c>
      <c r="C42" s="10" t="s">
        <v>21</v>
      </c>
      <c r="D42" s="11">
        <v>318.77</v>
      </c>
      <c r="E42" s="11">
        <v>24</v>
      </c>
      <c r="F42" s="11">
        <f t="shared" si="1"/>
        <v>7650.48</v>
      </c>
      <c r="G42" s="12">
        <v>79030636</v>
      </c>
      <c r="H42" s="13">
        <f t="shared" si="2"/>
        <v>10330.153924982485</v>
      </c>
      <c r="I42" s="14">
        <v>45000</v>
      </c>
      <c r="L42">
        <v>4</v>
      </c>
      <c r="O42">
        <v>6</v>
      </c>
    </row>
    <row r="43" spans="1:15" x14ac:dyDescent="0.25">
      <c r="A43" s="10" t="s">
        <v>96</v>
      </c>
      <c r="B43" s="10" t="s">
        <v>97</v>
      </c>
      <c r="C43" s="10" t="s">
        <v>21</v>
      </c>
      <c r="D43" s="11">
        <v>320</v>
      </c>
      <c r="E43" s="11">
        <v>24</v>
      </c>
      <c r="F43" s="11">
        <f t="shared" si="1"/>
        <v>7680</v>
      </c>
      <c r="G43" s="12">
        <v>18090250</v>
      </c>
      <c r="H43" s="13">
        <f t="shared" si="2"/>
        <v>2355.5013020833335</v>
      </c>
      <c r="I43" s="14">
        <v>15000</v>
      </c>
      <c r="J43">
        <v>4</v>
      </c>
      <c r="K43">
        <v>2</v>
      </c>
      <c r="L43">
        <v>2</v>
      </c>
      <c r="M43">
        <v>3</v>
      </c>
      <c r="N43">
        <v>2</v>
      </c>
      <c r="O43">
        <v>3</v>
      </c>
    </row>
    <row r="44" spans="1:15" x14ac:dyDescent="0.25">
      <c r="A44" s="10" t="s">
        <v>98</v>
      </c>
      <c r="B44" s="10" t="s">
        <v>99</v>
      </c>
      <c r="C44" s="10" t="s">
        <v>100</v>
      </c>
      <c r="D44" s="11">
        <v>321</v>
      </c>
      <c r="E44" s="11">
        <v>1</v>
      </c>
      <c r="F44" s="11">
        <f t="shared" si="1"/>
        <v>321</v>
      </c>
      <c r="G44" s="12">
        <v>5537991</v>
      </c>
      <c r="H44" s="13">
        <f t="shared" si="2"/>
        <v>17252.308411214952</v>
      </c>
      <c r="I44" s="14">
        <v>60000</v>
      </c>
    </row>
    <row r="45" spans="1:15" x14ac:dyDescent="0.25">
      <c r="A45" s="10" t="s">
        <v>101</v>
      </c>
      <c r="B45" s="10" t="s">
        <v>102</v>
      </c>
      <c r="C45" s="10" t="s">
        <v>14</v>
      </c>
      <c r="D45" s="11">
        <v>475</v>
      </c>
      <c r="E45" s="11">
        <v>1</v>
      </c>
      <c r="F45" s="11">
        <f t="shared" si="1"/>
        <v>475</v>
      </c>
      <c r="G45" s="12">
        <v>6711831</v>
      </c>
      <c r="H45" s="13">
        <f t="shared" si="2"/>
        <v>14130.170526315789</v>
      </c>
      <c r="I45" s="14">
        <v>50000</v>
      </c>
    </row>
    <row r="46" spans="1:15" x14ac:dyDescent="0.25">
      <c r="A46" s="10" t="s">
        <v>103</v>
      </c>
      <c r="B46" s="10" t="s">
        <v>104</v>
      </c>
      <c r="C46" s="10" t="s">
        <v>11</v>
      </c>
      <c r="D46" s="11">
        <v>489</v>
      </c>
      <c r="E46" s="11">
        <v>1</v>
      </c>
      <c r="F46" s="11">
        <f t="shared" si="1"/>
        <v>489</v>
      </c>
      <c r="G46" s="12">
        <v>4289508</v>
      </c>
      <c r="H46" s="13">
        <f t="shared" si="2"/>
        <v>8772</v>
      </c>
      <c r="I46" s="14">
        <v>30000</v>
      </c>
    </row>
    <row r="47" spans="1:15" x14ac:dyDescent="0.25">
      <c r="A47" s="10" t="s">
        <v>105</v>
      </c>
      <c r="B47" s="10" t="s">
        <v>106</v>
      </c>
      <c r="C47" s="10" t="s">
        <v>11</v>
      </c>
      <c r="D47" s="11">
        <v>776</v>
      </c>
      <c r="E47" s="11">
        <v>1</v>
      </c>
      <c r="F47" s="11">
        <f t="shared" si="1"/>
        <v>776</v>
      </c>
      <c r="G47" s="12">
        <v>14175872</v>
      </c>
      <c r="H47" s="13">
        <f t="shared" si="2"/>
        <v>18267.876288659794</v>
      </c>
      <c r="I47" s="14">
        <v>60000</v>
      </c>
    </row>
    <row r="48" spans="1:15" x14ac:dyDescent="0.25">
      <c r="A48" s="10" t="s">
        <v>107</v>
      </c>
      <c r="B48" s="10" t="s">
        <v>108</v>
      </c>
      <c r="C48" s="10" t="s">
        <v>21</v>
      </c>
      <c r="D48" s="11">
        <v>1104.3800000000001</v>
      </c>
      <c r="E48" s="11">
        <v>1</v>
      </c>
      <c r="F48" s="11">
        <f t="shared" si="1"/>
        <v>1104.3800000000001</v>
      </c>
      <c r="G48" s="12">
        <v>38413775</v>
      </c>
      <c r="H48" s="13">
        <f t="shared" si="2"/>
        <v>34783.113602202138</v>
      </c>
      <c r="I48" s="14">
        <v>90000</v>
      </c>
      <c r="J48">
        <v>1</v>
      </c>
    </row>
    <row r="49" spans="1:15" x14ac:dyDescent="0.25">
      <c r="A49" s="10" t="s">
        <v>109</v>
      </c>
      <c r="B49" s="10" t="s">
        <v>110</v>
      </c>
      <c r="C49" s="10" t="s">
        <v>88</v>
      </c>
      <c r="D49" s="11">
        <v>1164</v>
      </c>
      <c r="E49" s="11">
        <v>1</v>
      </c>
      <c r="F49" s="11">
        <f t="shared" si="1"/>
        <v>1164</v>
      </c>
      <c r="G49" s="12">
        <v>29383665</v>
      </c>
      <c r="H49" s="13">
        <f t="shared" si="2"/>
        <v>25243.698453608249</v>
      </c>
      <c r="I49" s="14">
        <v>90000</v>
      </c>
    </row>
    <row r="50" spans="1:15" x14ac:dyDescent="0.25">
      <c r="A50" s="10" t="s">
        <v>111</v>
      </c>
      <c r="B50" s="10" t="s">
        <v>112</v>
      </c>
      <c r="C50" s="10" t="s">
        <v>21</v>
      </c>
      <c r="D50" s="11">
        <v>1670.07</v>
      </c>
      <c r="E50" s="11">
        <v>1</v>
      </c>
      <c r="F50" s="11">
        <f t="shared" si="1"/>
        <v>1670.07</v>
      </c>
      <c r="G50" s="12">
        <v>24611847</v>
      </c>
      <c r="H50" s="13">
        <f t="shared" si="2"/>
        <v>14737.015214931111</v>
      </c>
      <c r="I50" s="14">
        <v>50000</v>
      </c>
    </row>
    <row r="51" spans="1:15" x14ac:dyDescent="0.25">
      <c r="A51" s="10" t="s">
        <v>113</v>
      </c>
      <c r="B51" s="10" t="s">
        <v>114</v>
      </c>
      <c r="C51" s="10" t="s">
        <v>48</v>
      </c>
      <c r="D51" s="11">
        <v>1909</v>
      </c>
      <c r="E51" s="11">
        <v>1</v>
      </c>
      <c r="F51" s="11">
        <f t="shared" si="1"/>
        <v>1909</v>
      </c>
      <c r="G51" s="12">
        <v>17354535</v>
      </c>
      <c r="H51" s="13">
        <f t="shared" si="2"/>
        <v>9090.9036144578313</v>
      </c>
      <c r="I51" s="14">
        <v>30000</v>
      </c>
    </row>
    <row r="52" spans="1:15" x14ac:dyDescent="0.25">
      <c r="A52" s="10" t="s">
        <v>115</v>
      </c>
      <c r="B52" s="10" t="s">
        <v>116</v>
      </c>
      <c r="C52" s="10" t="s">
        <v>11</v>
      </c>
      <c r="D52" s="11">
        <v>3739</v>
      </c>
      <c r="E52" s="11">
        <v>1</v>
      </c>
      <c r="F52" s="11">
        <f t="shared" si="1"/>
        <v>3739</v>
      </c>
      <c r="G52" s="12">
        <v>64912650</v>
      </c>
      <c r="H52" s="13">
        <f t="shared" si="2"/>
        <v>17360.965498796471</v>
      </c>
      <c r="I52" s="14">
        <v>60000</v>
      </c>
      <c r="L52">
        <v>2</v>
      </c>
    </row>
    <row r="53" spans="1:15" x14ac:dyDescent="0.25">
      <c r="A53" s="10" t="s">
        <v>117</v>
      </c>
      <c r="B53" s="10" t="s">
        <v>118</v>
      </c>
      <c r="C53" s="10" t="s">
        <v>119</v>
      </c>
      <c r="D53" s="11">
        <v>3848.13</v>
      </c>
      <c r="E53" s="11">
        <v>24</v>
      </c>
      <c r="F53" s="11">
        <f t="shared" si="1"/>
        <v>92355.12</v>
      </c>
      <c r="G53" s="12">
        <v>89338101</v>
      </c>
      <c r="H53" s="13">
        <f t="shared" si="2"/>
        <v>967.3324121066596</v>
      </c>
      <c r="I53" s="14">
        <v>30000</v>
      </c>
      <c r="J53">
        <v>10</v>
      </c>
      <c r="K53">
        <v>5</v>
      </c>
      <c r="M53">
        <v>4</v>
      </c>
      <c r="N53">
        <v>5</v>
      </c>
    </row>
    <row r="54" spans="1:15" x14ac:dyDescent="0.25">
      <c r="A54" s="10" t="s">
        <v>120</v>
      </c>
      <c r="B54" s="10" t="s">
        <v>121</v>
      </c>
      <c r="C54" s="15"/>
      <c r="H54" s="13" t="e">
        <f t="shared" si="2"/>
        <v>#DIV/0!</v>
      </c>
      <c r="I54" s="14">
        <v>350000</v>
      </c>
      <c r="K54">
        <v>1</v>
      </c>
      <c r="N54">
        <v>1</v>
      </c>
    </row>
    <row r="55" spans="1:15" x14ac:dyDescent="0.25">
      <c r="A55" s="10" t="s">
        <v>122</v>
      </c>
      <c r="B55" s="10" t="s">
        <v>123</v>
      </c>
      <c r="C55" s="15"/>
      <c r="H55" s="13" t="e">
        <f t="shared" si="2"/>
        <v>#DIV/0!</v>
      </c>
      <c r="I55" s="14">
        <v>450000</v>
      </c>
    </row>
    <row r="56" spans="1:15" x14ac:dyDescent="0.25">
      <c r="A56" s="10" t="s">
        <v>124</v>
      </c>
      <c r="B56" s="10" t="s">
        <v>125</v>
      </c>
      <c r="C56" s="10" t="s">
        <v>126</v>
      </c>
      <c r="D56" s="11">
        <v>33703</v>
      </c>
      <c r="E56" s="11">
        <v>1</v>
      </c>
      <c r="F56" s="11">
        <f t="shared" ref="F56" si="3">D56*E56</f>
        <v>33703</v>
      </c>
      <c r="G56" s="12">
        <v>17371053</v>
      </c>
      <c r="H56" s="13">
        <f t="shared" si="2"/>
        <v>515.41563065602463</v>
      </c>
      <c r="I56" s="14">
        <v>5000</v>
      </c>
      <c r="N56">
        <v>4</v>
      </c>
      <c r="O56">
        <v>2</v>
      </c>
    </row>
  </sheetData>
  <autoFilter ref="A3:J3" xr:uid="{32D3D74F-CAC1-46D7-97A2-FC5B4FB307E9}"/>
  <mergeCells count="3">
    <mergeCell ref="A2:A3"/>
    <mergeCell ref="B2:B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 xuất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Tien Do</dc:creator>
  <cp:lastModifiedBy>Phan Tien Do</cp:lastModifiedBy>
  <dcterms:created xsi:type="dcterms:W3CDTF">2026-07-21T01:55:45Z</dcterms:created>
  <dcterms:modified xsi:type="dcterms:W3CDTF">2026-07-21T01:56:04Z</dcterms:modified>
</cp:coreProperties>
</file>