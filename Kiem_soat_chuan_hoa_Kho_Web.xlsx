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Tong_quan" sheetId="1" r:id="rId1"/>
    <sheet name="Anh_xa_Kho_Web" sheetId="2" r:id="rId2"/>
    <sheet name="Kho_chuan_hoa" sheetId="3" r:id="rId3"/>
    <sheet name="Danh_muc_Web" sheetId="4" r:id="rId4"/>
    <sheet name="Can_xu_ly" sheetId="5" r:id="rId5"/>
    <sheet name="Huong_dan" sheetId="6" r:id="rId6"/>
  </sheet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 [$₫-vi-VN]"/>
    <numFmt numFmtId="167" formatCode="0.0%"/>
  </numFmts>
  <fonts count="5">
    <font>
      <sz val="10"/>
      <name val="Aptos"/>
    </font>
    <font>
      <b/>
      <sz val="18"/>
      <color rgb="FFFFFFFF"/>
      <name val="Aptos Display"/>
    </font>
    <font>
      <b/>
      <sz val="10"/>
      <color rgb="FFFFFFFF"/>
      <name val="Aptos"/>
    </font>
    <font>
      <b/>
      <sz val="10"/>
      <color rgb="FF17365D"/>
      <name val="Aptos"/>
    </font>
    <font>
      <i/>
      <sz val="10"/>
      <color rgb="FF526780"/>
      <name val="Aptos"/>
    </font>
  </fonts>
  <fills count="12">
    <fill>
      <patternFill patternType="none"/>
    </fill>
    <fill>
      <patternFill patternType="gray125"/>
    </fill>
    <fill>
      <patternFill patternType="solid">
        <fgColor rgb="FF1769E0"/>
        <bgColor indexed="64"/>
      </patternFill>
    </fill>
    <fill>
      <patternFill patternType="solid">
        <fgColor rgb="FF153B73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E3F6E9"/>
        <bgColor indexed="64"/>
      </patternFill>
    </fill>
    <fill>
      <patternFill patternType="solid">
        <fgColor rgb="FFFFF3D6"/>
        <bgColor indexed="64"/>
      </patternFill>
    </fill>
    <fill>
      <patternFill patternType="solid">
        <fgColor rgb="FFFEE8E6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DFF7E8"/>
        <bgColor indexed="64"/>
      </patternFill>
    </fill>
    <fill>
      <patternFill patternType="solid">
        <fgColor rgb="FFFFE4E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CE4EF"/>
      </bottom>
      <diagonal/>
    </border>
    <border>
      <left style="thin">
        <color rgb="FFCBD8EA"/>
      </left>
      <right style="thin">
        <color rgb="FFCBD8EA"/>
      </right>
      <top style="thin">
        <color rgb="FFCBD8EA"/>
      </top>
      <bottom style="thin">
        <color rgb="FFCBD8E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>
      <alignment vertical="center"/>
    </xf>
    <xf numFmtId="0" fontId="4" fillId="4" borderId="0" xfId="0" applyFont="1" applyFill="1">
      <alignment vertical="center" wrapText="1"/>
    </xf>
    <xf numFmtId="0" fontId="2" fillId="3" borderId="2" xfId="0" applyFont="1" applyFill="1" applyBorder="1">
      <alignment horizontal="center" vertical="center" wrapText="1"/>
    </xf>
    <xf numFmtId="0" fontId="0" fillId="0" borderId="1" xfId="0" applyBorder="1">
      <alignment vertical="top" wrapText="1"/>
    </xf>
    <xf numFmtId="164" fontId="0" fillId="0" borderId="1" xfId="0" applyNumberFormat="1" applyBorder="1">
      <alignment horizontal="right" vertical="top"/>
    </xf>
    <xf numFmtId="165" fontId="0" fillId="0" borderId="1" xfId="0" applyNumberFormat="1" applyBorder="1">
      <alignment horizontal="right" vertical="top"/>
    </xf>
    <xf numFmtId="166" fontId="0" fillId="0" borderId="1" xfId="0" applyNumberFormat="1" applyBorder="1">
      <alignment horizontal="right" vertical="top"/>
    </xf>
    <xf numFmtId="167" fontId="0" fillId="0" borderId="1" xfId="0" applyNumberFormat="1" applyBorder="1">
      <alignment horizontal="right" vertical="top"/>
    </xf>
    <xf numFmtId="0" fontId="3" fillId="5" borderId="1" xfId="0" applyFont="1" applyFill="1">
      <alignment horizontal="center" vertical="center"/>
    </xf>
    <xf numFmtId="0" fontId="3" fillId="6" borderId="1" xfId="0" applyFont="1" applyFill="1">
      <alignment horizontal="center" vertical="center"/>
    </xf>
    <xf numFmtId="0" fontId="3" fillId="7" borderId="1" xfId="0" applyFont="1" applyFill="1">
      <alignment horizontal="center" vertical="center"/>
    </xf>
    <xf numFmtId="0" fontId="4" fillId="8" borderId="1" xfId="0" applyFont="1" applyFill="1">
      <alignment vertical="top" wrapText="1"/>
    </xf>
    <xf numFmtId="0" fontId="3" fillId="9" borderId="2" xfId="0" applyFont="1" applyFill="1">
      <alignment horizontal="center" vertical="center" wrapText="1"/>
    </xf>
    <xf numFmtId="164" fontId="3" fillId="4" borderId="2" xfId="0" applyNumberFormat="1" applyFont="1" applyFill="1">
      <alignment horizontal="center" vertical="center"/>
    </xf>
    <xf numFmtId="0" fontId="3" fillId="10" borderId="1" xfId="0" applyFont="1" applyFill="1">
      <alignment vertical="center" wrapText="1"/>
    </xf>
    <xf numFmtId="0" fontId="3" fillId="6" borderId="1" xfId="0" applyFont="1" applyFill="1">
      <alignment vertical="center" wrapText="1"/>
    </xf>
    <xf numFmtId="0" fontId="3" fillId="11" borderId="1" xfId="0" applyFont="1" applyFill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16"/>
  <sheetViews>
    <sheetView showGridLines="0" workbookViewId="0">
      <selection pane="bottomLeft" activeCell="A1" sqref="A1"/>
    </sheetView>
  </sheetViews>
  <sheetFormatPr defaultRowHeight="18"/>
  <cols>
    <col min="1" max="1" width="20" customWidth="1"/>
    <col min="2" max="2" width="4" customWidth="1"/>
    <col min="3" max="3" width="20" customWidth="1"/>
    <col min="4" max="4" width="4" customWidth="1"/>
    <col min="5" max="5" width="22" customWidth="1"/>
    <col min="6" max="6" width="4" customWidth="1"/>
    <col min="7" max="7" width="20" customWidth="1"/>
    <col min="8" max="8" width="4" customWidth="1"/>
  </cols>
  <sheetData>
    <row r="1" ht="34" customHeight="1">
      <c r="A1" s="1" t="inlineStr">
        <is>
          <t>KIỂM SOÁT CHUẨN HÓA DỮ LIỆU KHO ↔ DANH MỤC WEB</t>
        </is>
      </c>
      <c r="B1" s="0" t="inlineStr">
        <is>
          <t/>
        </is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inlineStr">
        <is>
          <t/>
        </is>
      </c>
      <c r="G1" s="0" t="inlineStr">
        <is>
          <t/>
        </is>
      </c>
      <c r="H1" s="0" t="inlineStr">
        <is>
          <t/>
        </is>
      </c>
    </row>
    <row r="2" ht="24" customHeight="1">
      <c r="A2" s="2" t="inlineStr">
        <is>
          <t>Nguồn: KhoT5.xlsx + data.xlsx | Đồng bộ với dữ liệu extension hiện tại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</row>
    <row r="3">
      <c r="A3" s="0" t="inlineStr">
        <is>
          <t/>
        </is>
      </c>
      <c r="B3" s="0" t="inlineStr">
        <is>
          <t/>
        </is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  <c r="G3" s="0" t="inlineStr">
        <is>
          <t/>
        </is>
      </c>
      <c r="H3" s="0" t="inlineStr">
        <is>
          <t/>
        </is>
      </c>
    </row>
    <row r="4">
      <c r="A4" s="13" t="inlineStr">
        <is>
          <t>TỔNG MÃ KHO</t>
        </is>
      </c>
      <c r="B4" s="0" t="inlineStr">
        <is>
          <t/>
        </is>
      </c>
      <c r="C4" s="13" t="inlineStr">
        <is>
          <t>ĐÃ XÁC NHẬN</t>
        </is>
      </c>
      <c r="D4" s="0" t="inlineStr">
        <is>
          <t/>
        </is>
      </c>
      <c r="E4" s="13" t="inlineStr">
        <is>
          <t>CẦN DUYỆT</t>
        </is>
      </c>
      <c r="F4" s="0" t="inlineStr">
        <is>
          <t/>
        </is>
      </c>
      <c r="G4" s="13" t="inlineStr">
        <is>
          <t>CHƯA KHỚP</t>
        </is>
      </c>
      <c r="H4" s="0" t="inlineStr">
        <is>
          <t/>
        </is>
      </c>
    </row>
    <row r="5" ht="30" customHeight="1">
      <c r="A5" s="14">
        <f>COUNTA('Anh_xa_Kho_Web'!$B$5:$B$57)</f>
        <v>53</v>
      </c>
      <c r="B5" s="0" t="inlineStr">
        <is>
          <t/>
        </is>
      </c>
      <c r="C5" s="14">
        <f>COUNTIF('Anh_xa_Kho_Web'!$N$5:$N$57,"confirmed")</f>
        <v>25</v>
      </c>
      <c r="D5" s="0" t="inlineStr">
        <is>
          <t/>
        </is>
      </c>
      <c r="E5" s="14">
        <f>COUNTIF('Anh_xa_Kho_Web'!$N$5:$N$57,"review")</f>
        <v>22</v>
      </c>
      <c r="F5" s="0" t="inlineStr">
        <is>
          <t/>
        </is>
      </c>
      <c r="G5" s="14">
        <f>COUNTIF('Anh_xa_Kho_Web'!$N$5:$N$57,"unmatched")</f>
        <v>6</v>
      </c>
      <c r="H5" s="0" t="inlineStr">
        <is>
          <t/>
        </is>
      </c>
    </row>
    <row r="6">
      <c r="A6" s="0" t="inlineStr">
        <is>
          <t/>
        </is>
      </c>
      <c r="B6" s="0" t="inlineStr">
        <is>
          <t/>
        </is>
      </c>
      <c r="C6" s="0" t="inlineStr">
        <is>
          <t/>
        </is>
      </c>
      <c r="D6" s="0" t="inlineStr">
        <is>
          <t/>
        </is>
      </c>
      <c r="E6" s="0" t="inlineStr">
        <is>
          <t/>
        </is>
      </c>
      <c r="F6" s="0" t="inlineStr">
        <is>
          <t/>
        </is>
      </c>
      <c r="G6" s="0" t="inlineStr">
        <is>
          <t/>
        </is>
      </c>
      <c r="H6" s="0" t="inlineStr">
        <is>
          <t/>
        </is>
      </c>
    </row>
    <row r="7">
      <c r="A7" s="13" t="inlineStr">
        <is>
          <t>ĐỦ ĐIỀU KIỆN BÁN</t>
        </is>
      </c>
      <c r="B7" s="0" t="inlineStr">
        <is>
          <t/>
        </is>
      </c>
      <c r="C7" s="13" t="inlineStr">
        <is>
          <t>MÃ WEB BỊ DÙNG CHUNG</t>
        </is>
      </c>
      <c r="D7" s="0" t="inlineStr">
        <is>
          <t/>
        </is>
      </c>
      <c r="E7" s="13" t="inlineStr">
        <is>
          <t>CHÊNH GIÁ KHO/WEB</t>
        </is>
      </c>
      <c r="F7" s="0" t="inlineStr">
        <is>
          <t/>
        </is>
      </c>
      <c r="G7" s="13" t="inlineStr">
        <is>
          <t>TỔNG MÃ WEB</t>
        </is>
      </c>
      <c r="H7" s="0" t="inlineStr">
        <is>
          <t/>
        </is>
      </c>
    </row>
    <row r="8" ht="30" customHeight="1">
      <c r="A8" s="14">
        <f>COUNTIF('Anh_xa_Kho_Web'!$P$5:$P$57,"Đủ điều kiện")</f>
        <v>23</v>
      </c>
      <c r="B8" s="0" t="inlineStr">
        <is>
          <t/>
        </is>
      </c>
      <c r="C8" s="14">
        <v>8</v>
      </c>
      <c r="D8" s="0" t="inlineStr">
        <is>
          <t/>
        </is>
      </c>
      <c r="E8" s="14">
        <f>COUNTIF('Anh_xa_Kho_Web'!$M$5:$M$57,"&lt;&gt;0")</f>
        <v>9</v>
      </c>
      <c r="F8" s="0" t="inlineStr">
        <is>
          <t/>
        </is>
      </c>
      <c r="G8" s="14">
        <f>COUNTA('Danh_muc_Web'!$B$5:$B$147)</f>
        <v>143</v>
      </c>
      <c r="H8" s="0" t="inlineStr">
        <is>
          <t/>
        </is>
      </c>
    </row>
    <row r="9">
      <c r="A9" s="0" t="inlineStr">
        <is>
          <t/>
        </is>
      </c>
      <c r="B9" s="0" t="inlineStr">
        <is>
          <t/>
        </is>
      </c>
      <c r="C9" s="0" t="inlineStr">
        <is>
          <t/>
        </is>
      </c>
      <c r="D9" s="0" t="inlineStr">
        <is>
          <t/>
        </is>
      </c>
      <c r="E9" s="0" t="inlineStr">
        <is>
          <t/>
        </is>
      </c>
      <c r="F9" s="0" t="inlineStr">
        <is>
          <t/>
        </is>
      </c>
      <c r="G9" s="0" t="inlineStr">
        <is>
          <t/>
        </is>
      </c>
      <c r="H9" s="0" t="inlineStr">
        <is>
          <t/>
        </is>
      </c>
    </row>
    <row r="10">
      <c r="A10" s="3" t="inlineStr">
        <is>
          <t>Trạng thái</t>
        </is>
      </c>
      <c r="B10" s="3" t="inlineStr">
        <is>
          <t>Số lượng</t>
        </is>
      </c>
      <c r="C10" s="3" t="inlineStr">
        <is>
          <t>Ý nghĩa kiểm soát</t>
        </is>
      </c>
      <c r="D10" s="0" t="inlineStr">
        <is>
          <t/>
        </is>
      </c>
      <c r="E10" s="0" t="inlineStr">
        <is>
          <t/>
        </is>
      </c>
      <c r="F10" s="0" t="inlineStr">
        <is>
          <t/>
        </is>
      </c>
      <c r="G10" s="0" t="inlineStr">
        <is>
          <t/>
        </is>
      </c>
      <c r="H10" s="0" t="inlineStr">
        <is>
          <t/>
        </is>
      </c>
    </row>
    <row r="11">
      <c r="A11" s="9" t="inlineStr">
        <is>
          <t>confirmed</t>
        </is>
      </c>
      <c r="B11" s="5">
        <v>25</v>
      </c>
      <c r="C11" s="4" t="inlineStr">
        <is>
          <t>Được đưa vào bộ giải nếu còn tồn và dữ liệu web hợp lệ</t>
        </is>
      </c>
      <c r="D11" s="0" t="inlineStr">
        <is>
          <t/>
        </is>
      </c>
      <c r="E11" s="0" t="inlineStr">
        <is>
          <t/>
        </is>
      </c>
      <c r="F11" s="0" t="inlineStr">
        <is>
          <t/>
        </is>
      </c>
      <c r="G11" s="0" t="inlineStr">
        <is>
          <t/>
        </is>
      </c>
      <c r="H11" s="0" t="inlineStr">
        <is>
          <t/>
        </is>
      </c>
    </row>
    <row r="12">
      <c r="A12" s="10" t="inlineStr">
        <is>
          <t>review</t>
        </is>
      </c>
      <c r="B12" s="5">
        <v>22</v>
      </c>
      <c r="C12" s="4" t="inlineStr">
        <is>
          <t>Cần kế toán xác nhận lại mã/tên/giá trước khi dùng</t>
        </is>
      </c>
      <c r="D12" s="0" t="inlineStr">
        <is>
          <t/>
        </is>
      </c>
      <c r="E12" s="0" t="inlineStr">
        <is>
          <t/>
        </is>
      </c>
      <c r="F12" s="0" t="inlineStr">
        <is>
          <t/>
        </is>
      </c>
      <c r="G12" s="0" t="inlineStr">
        <is>
          <t/>
        </is>
      </c>
      <c r="H12" s="0" t="inlineStr">
        <is>
          <t/>
        </is>
      </c>
    </row>
    <row r="13">
      <c r="A13" s="11" t="inlineStr">
        <is>
          <t>unmatched</t>
        </is>
      </c>
      <c r="B13" s="5">
        <v>6</v>
      </c>
      <c r="C13" s="4" t="inlineStr">
        <is>
          <t>Không được phép đưa vào hóa đơn</t>
        </is>
      </c>
      <c r="D13" s="0" t="inlineStr">
        <is>
          <t/>
        </is>
      </c>
      <c r="E13" s="0" t="inlineStr">
        <is>
          <t/>
        </is>
      </c>
      <c r="F13" s="0" t="inlineStr">
        <is>
          <t/>
        </is>
      </c>
      <c r="G13" s="0" t="inlineStr">
        <is>
          <t/>
        </is>
      </c>
      <c r="H13" s="0" t="inlineStr">
        <is>
          <t/>
        </is>
      </c>
    </row>
    <row r="14">
      <c r="A14" s="0" t="inlineStr">
        <is>
          <t/>
        </is>
      </c>
      <c r="B14" s="0" t="inlineStr">
        <is>
          <t/>
        </is>
      </c>
      <c r="C14" s="0" t="inlineStr">
        <is>
          <t/>
        </is>
      </c>
      <c r="D14" s="0" t="inlineStr">
        <is>
          <t/>
        </is>
      </c>
      <c r="E14" s="0" t="inlineStr">
        <is>
          <t/>
        </is>
      </c>
      <c r="F14" s="0" t="inlineStr">
        <is>
          <t/>
        </is>
      </c>
      <c r="G14" s="0" t="inlineStr">
        <is>
          <t/>
        </is>
      </c>
      <c r="H14" s="0" t="inlineStr">
        <is>
          <t/>
        </is>
      </c>
    </row>
    <row r="15">
      <c r="A15" s="3" t="inlineStr">
        <is>
          <t>Quy trình sử dụng</t>
        </is>
      </c>
      <c r="B15" s="0" t="inlineStr">
        <is>
          <t/>
        </is>
      </c>
      <c r="C15" s="0" t="inlineStr">
        <is>
          <t/>
        </is>
      </c>
      <c r="D15" s="0" t="inlineStr">
        <is>
          <t/>
        </is>
      </c>
      <c r="E15" s="0" t="inlineStr">
        <is>
          <t/>
        </is>
      </c>
      <c r="F15" s="0" t="inlineStr">
        <is>
          <t/>
        </is>
      </c>
      <c r="G15" s="0" t="inlineStr">
        <is>
          <t/>
        </is>
      </c>
      <c r="H15" s="0" t="inlineStr">
        <is>
          <t/>
        </is>
      </c>
    </row>
    <row r="16">
      <c r="A16" s="12" t="inlineStr">
        <is>
          <t>1. Lọc sheet Cần_xử_lý → kiểm tra các dòng đỏ/vàng.  2. Cập nhật cột Quyết định kiểm soát và ghi chú tại sheet Ánh_xạ_Kho_Web.  3. Chỉ xác nhận khi mã web, tên, đơn vị, giá và tồn đều hợp lệ.  4. Dùng file đã rà soát làm nguồn nhập lại extension.</t>
        </is>
      </c>
      <c r="B16" s="0" t="inlineStr">
        <is>
          <t/>
        </is>
      </c>
      <c r="C16" s="0" t="inlineStr">
        <is>
          <t/>
        </is>
      </c>
      <c r="D16" s="0" t="inlineStr">
        <is>
          <t/>
        </is>
      </c>
      <c r="E16" s="0" t="inlineStr">
        <is>
          <t/>
        </is>
      </c>
      <c r="F16" s="0" t="inlineStr">
        <is>
          <t/>
        </is>
      </c>
      <c r="G16" s="0" t="inlineStr">
        <is>
          <t/>
        </is>
      </c>
      <c r="H16" s="0" t="inlineStr">
        <is>
          <t/>
        </is>
      </c>
    </row>
  </sheetData>
  <mergeCells count="4">
    <mergeCell ref="A1:H1"/>
    <mergeCell ref="A2:H2"/>
    <mergeCell ref="A15:H15"/>
    <mergeCell ref="A16:H17"/>
  </mergeCells>
  <pageMargins left="0.3" right="0.3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>
  <dimension ref="A1:T57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7" customWidth="1"/>
    <col min="2" max="2" width="18" customWidth="1"/>
    <col min="3" max="3" width="38" customWidth="1"/>
    <col min="4" max="4" width="12" customWidth="1"/>
    <col min="5" max="5" width="12" customWidth="1"/>
    <col min="6" max="6" width="11" customWidth="1"/>
    <col min="7" max="7" width="12" customWidth="1"/>
    <col min="8" max="8" width="16" customWidth="1"/>
    <col min="9" max="9" width="14" customWidth="1"/>
    <col min="10" max="10" width="38" customWidth="1"/>
    <col min="11" max="11" width="12" customWidth="1"/>
    <col min="12" max="12" width="16" customWidth="1"/>
    <col min="13" max="13" width="16" customWidth="1"/>
    <col min="14" max="14" width="14" customWidth="1"/>
    <col min="15" max="15" width="12" customWidth="1"/>
    <col min="16" max="16" width="30" customWidth="1"/>
    <col min="17" max="17" width="22" customWidth="1"/>
    <col min="18" max="18" width="18" customWidth="1"/>
    <col min="19" max="19" width="28" customWidth="1"/>
    <col min="20" max="20" width="55" customWidth="1"/>
  </cols>
  <sheetData>
    <row r="1" ht="32" customHeight="1">
      <c r="A1" s="1" t="inlineStr">
        <is>
          <t>BẢNG ÁNH XẠ KHO ↔ WEB</t>
        </is>
      </c>
      <c r="B1" s="0" t="inlineStr">
        <is>
          <t/>
        </is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inlineStr">
        <is>
          <t/>
        </is>
      </c>
      <c r="G1" s="0" t="inlineStr">
        <is>
          <t/>
        </is>
      </c>
      <c r="H1" s="0" t="inlineStr">
        <is>
          <t/>
        </is>
      </c>
      <c r="I1" s="0" t="inlineStr">
        <is>
          <t/>
        </is>
      </c>
      <c r="J1" s="0" t="inlineStr">
        <is>
          <t/>
        </is>
      </c>
      <c r="K1" s="0" t="inlineStr">
        <is>
          <t/>
        </is>
      </c>
      <c r="L1" s="0" t="inlineStr">
        <is>
          <t/>
        </is>
      </c>
      <c r="M1" s="0" t="inlineStr">
        <is>
          <t/>
        </is>
      </c>
      <c r="N1" s="0" t="inlineStr">
        <is>
          <t/>
        </is>
      </c>
      <c r="O1" s="0" t="inlineStr">
        <is>
          <t/>
        </is>
      </c>
      <c r="P1" s="0" t="inlineStr">
        <is>
          <t/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/>
        </is>
      </c>
    </row>
    <row r="2">
      <c r="A2" s="2" t="inlineStr">
        <is>
          <t>Các cột xanh nhạt là dữ liệu nguồn; cột Quyết định/Mã web sau duyệt/Ghi chú dành cho người kiểm soát.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</row>
    <row r="3">
      <c r="A3" s="0" t="inlineStr">
        <is>
          <t/>
        </is>
      </c>
      <c r="B3" s="0" t="inlineStr">
        <is>
          <t/>
        </is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  <c r="G3" s="0" t="inlineStr">
        <is>
          <t/>
        </is>
      </c>
      <c r="H3" s="0" t="inlineStr">
        <is>
          <t/>
        </is>
      </c>
      <c r="I3" s="0" t="inlineStr">
        <is>
          <t/>
        </is>
      </c>
      <c r="J3" s="0" t="inlineStr">
        <is>
          <t/>
        </is>
      </c>
      <c r="K3" s="0" t="inlineStr">
        <is>
          <t/>
        </is>
      </c>
      <c r="L3" s="0" t="inlineStr">
        <is>
          <t/>
        </is>
      </c>
      <c r="M3" s="0" t="inlineStr">
        <is>
          <t/>
        </is>
      </c>
      <c r="N3" s="0" t="inlineStr">
        <is>
          <t/>
        </is>
      </c>
      <c r="O3" s="0" t="inlineStr">
        <is>
          <t/>
        </is>
      </c>
      <c r="P3" s="0" t="inlineStr">
        <is>
          <t/>
        </is>
      </c>
      <c r="Q3" s="0" t="inlineStr">
        <is>
          <t/>
        </is>
      </c>
      <c r="R3" s="0" t="inlineStr">
        <is>
          <t/>
        </is>
      </c>
      <c r="S3" s="0" t="inlineStr">
        <is>
          <t/>
        </is>
      </c>
      <c r="T3" s="0" t="inlineStr">
        <is>
          <t/>
        </is>
      </c>
    </row>
    <row r="4" ht="30" customHeight="1">
      <c r="A4" s="3" t="inlineStr">
        <is>
          <t>STT</t>
        </is>
      </c>
      <c r="B4" s="3" t="inlineStr">
        <is>
          <t>Mã kho</t>
        </is>
      </c>
      <c r="C4" s="3" t="inlineStr">
        <is>
          <t>Tên kho</t>
        </is>
      </c>
      <c r="D4" s="3" t="inlineStr">
        <is>
          <t>ĐVT kho</t>
        </is>
      </c>
      <c r="E4" s="3" t="inlineStr">
        <is>
          <t>SL kho</t>
        </is>
      </c>
      <c r="F4" s="3" t="inlineStr">
        <is>
          <t>Quy đổi</t>
        </is>
      </c>
      <c r="G4" s="3" t="inlineStr">
        <is>
          <t>Tồn bán</t>
        </is>
      </c>
      <c r="H4" s="3" t="inlineStr">
        <is>
          <t>Giá bán kho</t>
        </is>
      </c>
      <c r="I4" s="3" t="inlineStr">
        <is>
          <t>Mã web</t>
        </is>
      </c>
      <c r="J4" s="3" t="inlineStr">
        <is>
          <t>Tên web</t>
        </is>
      </c>
      <c r="K4" s="3" t="inlineStr">
        <is>
          <t>ĐVT web</t>
        </is>
      </c>
      <c r="L4" s="3" t="inlineStr">
        <is>
          <t>Giá web</t>
        </is>
      </c>
      <c r="M4" s="3" t="inlineStr">
        <is>
          <t>Chênh giá</t>
        </is>
      </c>
      <c r="N4" s="3" t="inlineStr">
        <is>
          <t>Trạng thái</t>
        </is>
      </c>
      <c r="O4" s="3" t="inlineStr">
        <is>
          <t>Tin cậy</t>
        </is>
      </c>
      <c r="P4" s="3" t="inlineStr">
        <is>
          <t>Kiểm tra tự động</t>
        </is>
      </c>
      <c r="Q4" s="3" t="inlineStr">
        <is>
          <t>Quyết định kiểm soát</t>
        </is>
      </c>
      <c r="R4" s="3" t="inlineStr">
        <is>
          <t>Mã web sau duyệt</t>
        </is>
      </c>
      <c r="S4" s="3" t="inlineStr">
        <is>
          <t>Ghi chú kế toán</t>
        </is>
      </c>
      <c r="T4" s="3" t="inlineStr">
        <is>
          <t>Gợi ý hệ thống</t>
        </is>
      </c>
    </row>
    <row r="5">
      <c r="A5" s="5">
        <v>1</v>
      </c>
      <c r="B5" s="4" t="inlineStr">
        <is>
          <t>BANHSNACK</t>
        </is>
      </c>
      <c r="C5" s="4" t="inlineStr">
        <is>
          <t>Bánh snack bắp 40g Vfoods</t>
        </is>
      </c>
      <c r="D5" s="4" t="inlineStr">
        <is>
          <t>Gói</t>
        </is>
      </c>
      <c r="E5" s="6">
        <v>20.0</v>
      </c>
      <c r="F5" s="6">
        <v>1.0</v>
      </c>
      <c r="G5" s="5">
        <v>20</v>
      </c>
      <c r="H5" s="7">
        <v>30000</v>
      </c>
      <c r="I5" s="4" t="inlineStr">
        <is>
          <t>1000047</t>
        </is>
      </c>
      <c r="J5" s="4" t="inlineStr">
        <is>
          <t>Bánh snack bắp 40g Vfoods</t>
        </is>
      </c>
      <c r="K5" s="4" t="inlineStr">
        <is>
          <t>gói</t>
        </is>
      </c>
      <c r="L5" s="7">
        <v>60000</v>
      </c>
      <c r="M5" s="7">
        <f>L5-H5</f>
        <v>30000.0</v>
      </c>
      <c r="N5" s="10" t="inlineStr">
        <is>
          <t>review</t>
        </is>
      </c>
      <c r="O5" s="8">
        <v>0.75</v>
      </c>
      <c r="P5" s="16" t="inlineStr">
        <is>
          <t>Ánh xạ chưa được xác nhận; Giá kho và giá web khác nhau</t>
        </is>
      </c>
      <c r="Q5" s="16" t="inlineStr">
        <is>
          <t>CẦN SỬA</t>
        </is>
      </c>
      <c r="R5" s="4" t="inlineStr">
        <is>
          <t>1000047</t>
        </is>
      </c>
      <c r="S5" s="4" t="inlineStr">
        <is>
          <t/>
        </is>
      </c>
      <c r="T5" s="12" t="inlineStr">
        <is>
          <t>1000047 - Bánh snack bắp 40g Vfoods (75.0) | 1000040 - DOSI Snack Quẩy Xoắn (65.3) | 1000060 - Bánh que đỏ Stick Biscuit 55 gram (59.0)</t>
        </is>
      </c>
    </row>
    <row r="6">
      <c r="A6" s="5">
        <v>2</v>
      </c>
      <c r="B6" s="4" t="inlineStr">
        <is>
          <t>TLTHANGLONGTH</t>
        </is>
      </c>
      <c r="C6" s="4" t="inlineStr">
        <is>
          <t>Thuốc lá điếu Thăng Long hộp thiếc</t>
        </is>
      </c>
      <c r="D6" s="4" t="inlineStr">
        <is>
          <t>Bao</t>
        </is>
      </c>
      <c r="E6" s="6">
        <v>20.0</v>
      </c>
      <c r="F6" s="6">
        <v>1.0</v>
      </c>
      <c r="G6" s="5">
        <v>20</v>
      </c>
      <c r="H6" s="7">
        <v>80000</v>
      </c>
      <c r="I6" s="4" t="inlineStr">
        <is>
          <t>1400007</t>
        </is>
      </c>
      <c r="J6" s="4" t="inlineStr">
        <is>
          <t>THUỐC LÁ 555</t>
        </is>
      </c>
      <c r="K6" s="4" t="inlineStr">
        <is>
          <t>bao</t>
        </is>
      </c>
      <c r="L6" s="7">
        <v>80000</v>
      </c>
      <c r="M6" s="7">
        <f>L6-H6</f>
        <v>0.0</v>
      </c>
      <c r="N6" s="10" t="inlineStr">
        <is>
          <t>review</t>
        </is>
      </c>
      <c r="O6" s="8">
        <v>0.929</v>
      </c>
      <c r="P6" s="16" t="inlineStr">
        <is>
          <t>Ánh xạ chưa được xác nhận</t>
        </is>
      </c>
      <c r="Q6" s="16" t="inlineStr">
        <is>
          <t>CẦN SỬA</t>
        </is>
      </c>
      <c r="R6" s="4" t="inlineStr">
        <is>
          <t>1400007</t>
        </is>
      </c>
      <c r="S6" s="4" t="inlineStr">
        <is>
          <t/>
        </is>
      </c>
      <c r="T6" s="12" t="inlineStr">
        <is>
          <t>1400007 - THUỐC LÁ 555 (92.9) | 1400010 - Thuốc Lá Vinataba cứng mới ba (57.8) | 1400008 - THUOC LA MAN (49.3)</t>
        </is>
      </c>
    </row>
    <row r="7">
      <c r="A7" s="5">
        <v>3</v>
      </c>
      <c r="B7" s="4" t="inlineStr">
        <is>
          <t>changacay80g</t>
        </is>
      </c>
      <c r="C7" s="4" t="inlineStr">
        <is>
          <t>Chân gà cay 80g</t>
        </is>
      </c>
      <c r="D7" s="4" t="inlineStr">
        <is>
          <t>Gói</t>
        </is>
      </c>
      <c r="E7" s="6">
        <v>22.0</v>
      </c>
      <c r="F7" s="6">
        <v>1.0</v>
      </c>
      <c r="G7" s="5">
        <v>22</v>
      </c>
      <c r="H7" s="7">
        <v>55000</v>
      </c>
      <c r="I7" s="4" t="inlineStr">
        <is>
          <t>1000007</t>
        </is>
      </c>
      <c r="J7" s="4" t="inlineStr">
        <is>
          <t>CHÂN GÀ - CAY</t>
        </is>
      </c>
      <c r="K7" s="4" t="inlineStr">
        <is>
          <t>gói</t>
        </is>
      </c>
      <c r="L7" s="7">
        <v>55000</v>
      </c>
      <c r="M7" s="7">
        <f>L7-H7</f>
        <v>0.0</v>
      </c>
      <c r="N7" s="9" t="inlineStr">
        <is>
          <t>confirmed</t>
        </is>
      </c>
      <c r="O7" s="8">
        <v>0.929</v>
      </c>
      <c r="P7" s="15" t="inlineStr">
        <is>
          <t>Đủ điều kiện</t>
        </is>
      </c>
      <c r="Q7" s="15" t="inlineStr">
        <is>
          <t>GIỮ NGUYÊN</t>
        </is>
      </c>
      <c r="R7" s="4" t="inlineStr">
        <is>
          <t>1000007</t>
        </is>
      </c>
      <c r="S7" s="4" t="inlineStr">
        <is>
          <t/>
        </is>
      </c>
      <c r="T7" s="12" t="inlineStr">
        <is>
          <t>1000007 - CHÂN GÀ - CAY (92.9) | 1000015 - KHÔ GÀ (61.2) | 1000034 - Bánh xốp classic 45g (58.5)</t>
        </is>
      </c>
    </row>
    <row r="8">
      <c r="A8" s="5">
        <v>4</v>
      </c>
      <c r="B8" s="4" t="inlineStr">
        <is>
          <t>DECUOI70</t>
        </is>
      </c>
      <c r="C8" s="4" t="inlineStr">
        <is>
          <t>Hạt dẻ cười 70 gram</t>
        </is>
      </c>
      <c r="D8" s="4" t="inlineStr">
        <is>
          <t>Gói</t>
        </is>
      </c>
      <c r="E8" s="6">
        <v>47.0</v>
      </c>
      <c r="F8" s="6">
        <v>1.0</v>
      </c>
      <c r="G8" s="5">
        <v>47</v>
      </c>
      <c r="H8" s="7">
        <v>65000</v>
      </c>
      <c r="I8" s="4" t="inlineStr">
        <is>
          <t>1000010</t>
        </is>
      </c>
      <c r="J8" s="4" t="inlineStr">
        <is>
          <t>HẠT DẺ</t>
        </is>
      </c>
      <c r="K8" s="4" t="inlineStr">
        <is>
          <t>gói</t>
        </is>
      </c>
      <c r="L8" s="7">
        <v>65000</v>
      </c>
      <c r="M8" s="7">
        <f>L8-H8</f>
        <v>0.0</v>
      </c>
      <c r="N8" s="10" t="inlineStr">
        <is>
          <t>review</t>
        </is>
      </c>
      <c r="O8" s="8">
        <v>0.929</v>
      </c>
      <c r="P8" s="16" t="inlineStr">
        <is>
          <t>Ánh xạ chưa được xác nhận</t>
        </is>
      </c>
      <c r="Q8" s="16" t="inlineStr">
        <is>
          <t>CẦN SỬA</t>
        </is>
      </c>
      <c r="R8" s="4" t="inlineStr">
        <is>
          <t>1000010</t>
        </is>
      </c>
      <c r="S8" s="4" t="inlineStr">
        <is>
          <t/>
        </is>
      </c>
      <c r="T8" s="12" t="inlineStr">
        <is>
          <t>1000010 - HẠT DẺ (92.9) | 1000011 - HẠT ĐIỀU (69.6) | 1100005 - Hắc sâm (56.8)</t>
        </is>
      </c>
    </row>
    <row r="9">
      <c r="A9" s="5">
        <v>5</v>
      </c>
      <c r="B9" s="4" t="inlineStr">
        <is>
          <t>IONVIE500</t>
        </is>
      </c>
      <c r="C9" s="4" t="inlineStr">
        <is>
          <t>Nước uống ion kiềm IONVie, 500ml * 20 chai</t>
        </is>
      </c>
      <c r="D9" s="4" t="inlineStr">
        <is>
          <t>Thùng</t>
        </is>
      </c>
      <c r="E9" s="6">
        <v>48.95</v>
      </c>
      <c r="F9" s="6">
        <v>20.0</v>
      </c>
      <c r="G9" s="5">
        <v>979</v>
      </c>
      <c r="H9" s="7">
        <v>25000</v>
      </c>
      <c r="I9" s="4" t="inlineStr">
        <is>
          <t>1100029</t>
        </is>
      </c>
      <c r="J9" s="4" t="inlineStr">
        <is>
          <t>Nước uống ion kiềm IONVie, 500ml</t>
        </is>
      </c>
      <c r="K9" s="4" t="inlineStr">
        <is>
          <t>chai</t>
        </is>
      </c>
      <c r="L9" s="7">
        <v>25000</v>
      </c>
      <c r="M9" s="7">
        <f>L9-H9</f>
        <v>0.0</v>
      </c>
      <c r="N9" s="10" t="inlineStr">
        <is>
          <t>review</t>
        </is>
      </c>
      <c r="O9" s="8">
        <v>0.982</v>
      </c>
      <c r="P9" s="16" t="inlineStr">
        <is>
          <t>Ánh xạ chưa được xác nhận</t>
        </is>
      </c>
      <c r="Q9" s="16" t="inlineStr">
        <is>
          <t>CẦN SỬA</t>
        </is>
      </c>
      <c r="R9" s="4" t="inlineStr">
        <is>
          <t>1100029</t>
        </is>
      </c>
      <c r="S9" s="4" t="inlineStr">
        <is>
          <t/>
        </is>
      </c>
      <c r="T9" s="12" t="inlineStr">
        <is>
          <t>1100029 - Nước uống ion kiềm IONVie, 500ml (98.2) | 1100028 - Nước uống ion kiềm IONVie, 350ml (59.9) | 1100015 - Trà thảo mộc Wanglaoji 310ml (50.8)</t>
        </is>
      </c>
    </row>
    <row r="10">
      <c r="A10" s="5">
        <v>6</v>
      </c>
      <c r="B10" s="4" t="inlineStr">
        <is>
          <t>XXPONNIE</t>
        </is>
      </c>
      <c r="C10" s="4" t="inlineStr">
        <is>
          <t>Xúc xích tiệt trùng Ponnie Thịt phô mai 4hộp x 12cây x 45gr</t>
        </is>
      </c>
      <c r="D10" s="4" t="inlineStr">
        <is>
          <t>Hộp</t>
        </is>
      </c>
      <c r="E10" s="6">
        <v>50.0</v>
      </c>
      <c r="F10" s="6">
        <v>12.0</v>
      </c>
      <c r="G10" s="5">
        <v>600</v>
      </c>
      <c r="H10" s="7">
        <v>15000</v>
      </c>
      <c r="I10" s="4" t="inlineStr">
        <is>
          <t>1000029</t>
        </is>
      </c>
      <c r="J10" s="4" t="inlineStr">
        <is>
          <t>Xúc xích tiệt trùng</t>
        </is>
      </c>
      <c r="K10" s="4" t="inlineStr">
        <is>
          <t>Cây</t>
        </is>
      </c>
      <c r="L10" s="7">
        <v>15000</v>
      </c>
      <c r="M10" s="7">
        <f>L10-H10</f>
        <v>0.0</v>
      </c>
      <c r="N10" s="9" t="inlineStr">
        <is>
          <t>confirmed</t>
        </is>
      </c>
      <c r="O10" s="8">
        <v>0.809</v>
      </c>
      <c r="P10" s="15" t="inlineStr">
        <is>
          <t>Đủ điều kiện</t>
        </is>
      </c>
      <c r="Q10" s="15" t="inlineStr">
        <is>
          <t>GIỮ NGUYÊN</t>
        </is>
      </c>
      <c r="R10" s="4" t="inlineStr">
        <is>
          <t>1000029</t>
        </is>
      </c>
      <c r="S10" s="4" t="inlineStr">
        <is>
          <t/>
        </is>
      </c>
      <c r="T10" s="12" t="inlineStr">
        <is>
          <t>1000029 - Xúc xích tiệt trùng (80.9) | 1000023 - Bim bim khoai tây Lay's (52.3) | 1000053 - Lay's Wavy vi Pho Mai Cheddar 28g 16x10 (51.7)</t>
        </is>
      </c>
    </row>
    <row r="11">
      <c r="A11" s="5">
        <v>7</v>
      </c>
      <c r="B11" s="4" t="inlineStr">
        <is>
          <t>tratac</t>
        </is>
      </c>
      <c r="C11" s="4" t="inlineStr">
        <is>
          <t>Trà tắc mật ong (Nhãn hiệu Cozy) (Tết 320ml)</t>
        </is>
      </c>
      <c r="D11" s="4" t="inlineStr">
        <is>
          <t>Lon</t>
        </is>
      </c>
      <c r="E11" s="6">
        <v>57.0</v>
      </c>
      <c r="F11" s="6">
        <v>1.0</v>
      </c>
      <c r="G11" s="5">
        <v>57</v>
      </c>
      <c r="H11" s="7">
        <v>40000</v>
      </c>
      <c r="I11" s="4" t="inlineStr">
        <is>
          <t>1100030</t>
        </is>
      </c>
      <c r="J11" s="4" t="inlineStr">
        <is>
          <t>Trà đào sả (Nhãn hiệu Cozy) (320ml)</t>
        </is>
      </c>
      <c r="K11" s="4" t="inlineStr">
        <is>
          <t>Lon</t>
        </is>
      </c>
      <c r="L11" s="7">
        <v>40000</v>
      </c>
      <c r="M11" s="7">
        <f>L11-H11</f>
        <v>0.0</v>
      </c>
      <c r="N11" s="10" t="inlineStr">
        <is>
          <t>review</t>
        </is>
      </c>
      <c r="O11" s="8">
        <v>0.877</v>
      </c>
      <c r="P11" s="16" t="inlineStr">
        <is>
          <t>Ánh xạ chưa được xác nhận</t>
        </is>
      </c>
      <c r="Q11" s="16" t="inlineStr">
        <is>
          <t>CẦN SỬA</t>
        </is>
      </c>
      <c r="R11" s="4" t="inlineStr">
        <is>
          <t>1100030</t>
        </is>
      </c>
      <c r="S11" s="4" t="inlineStr">
        <is>
          <t/>
        </is>
      </c>
      <c r="T11" s="12" t="inlineStr">
        <is>
          <t>1100030 - Trà đào sả (Nhãn hiệu Cozy) (320ml) (87.7) | 1000049 - Đậu mix hạt tổng hợp Cam Nguyên 56 gam (47.3) | 1000025 - Bánh quy que (45.3)</t>
        </is>
      </c>
    </row>
    <row r="12">
      <c r="A12" s="5">
        <v>8</v>
      </c>
      <c r="B12" s="4" t="inlineStr">
        <is>
          <t>Hotdog Ponnie</t>
        </is>
      </c>
      <c r="C12" s="4" t="inlineStr">
        <is>
          <t>Hotdog Ponnie giòn ăn liền vị cay 4hộp x 20gói x 28gr</t>
        </is>
      </c>
      <c r="D12" s="4" t="inlineStr">
        <is>
          <t>Hộp</t>
        </is>
      </c>
      <c r="E12" s="6">
        <v>58.2</v>
      </c>
      <c r="F12" s="6">
        <v>20.0</v>
      </c>
      <c r="G12" s="5">
        <v>1164</v>
      </c>
      <c r="H12" s="7">
        <v>15000</v>
      </c>
      <c r="I12" s="4" t="inlineStr">
        <is>
          <t>1000053</t>
        </is>
      </c>
      <c r="J12" s="4" t="inlineStr">
        <is>
          <t>Lay's Wavy vi Pho Mai Cheddar 28g 16x10</t>
        </is>
      </c>
      <c r="K12" s="4" t="inlineStr">
        <is>
          <t>gói</t>
        </is>
      </c>
      <c r="L12" s="7">
        <v>15000</v>
      </c>
      <c r="M12" s="7">
        <f>L12-H12</f>
        <v>0.0</v>
      </c>
      <c r="N12" s="11" t="inlineStr">
        <is>
          <t>unmatched</t>
        </is>
      </c>
      <c r="O12" s="8">
        <v>0.58</v>
      </c>
      <c r="P12" s="16" t="inlineStr">
        <is>
          <t>Ánh xạ chưa được xác nhận</t>
        </is>
      </c>
      <c r="Q12" s="16" t="inlineStr">
        <is>
          <t>CẦN SỬA</t>
        </is>
      </c>
      <c r="R12" s="4" t="inlineStr">
        <is>
          <t>1000053</t>
        </is>
      </c>
      <c r="S12" s="4" t="inlineStr">
        <is>
          <t/>
        </is>
      </c>
      <c r="T12" s="12" t="inlineStr">
        <is>
          <t>1000053 - Lay's Wavy vi Pho Mai Cheddar 28g 16x10 (58.0) | 1100028 - Nước uống ion kiềm IONVie, 350ml (53.5) | 1000051 - Lay's vi Than Bo Nuong Texas 30G 16X10 (51.9)</t>
        </is>
      </c>
    </row>
    <row r="13">
      <c r="A13" s="5">
        <v>9</v>
      </c>
      <c r="B13" s="4" t="inlineStr">
        <is>
          <t>TraWanglaoji</t>
        </is>
      </c>
      <c r="C13" s="4" t="inlineStr">
        <is>
          <t>Trà thảo mộc Wanglaoji 310ml/lon, 24 lon/ thùng</t>
        </is>
      </c>
      <c r="D13" s="4" t="inlineStr">
        <is>
          <t>Thùng</t>
        </is>
      </c>
      <c r="E13" s="6">
        <v>62.17</v>
      </c>
      <c r="F13" s="6">
        <v>24.0</v>
      </c>
      <c r="G13" s="5">
        <v>1492</v>
      </c>
      <c r="H13" s="7">
        <v>25000</v>
      </c>
      <c r="I13" s="4" t="inlineStr">
        <is>
          <t>1100015</t>
        </is>
      </c>
      <c r="J13" s="4" t="inlineStr">
        <is>
          <t>Trà thảo mộc Wanglaoji 310ml</t>
        </is>
      </c>
      <c r="K13" s="4" t="inlineStr">
        <is>
          <t>Lon</t>
        </is>
      </c>
      <c r="L13" s="7">
        <v>25000</v>
      </c>
      <c r="M13" s="7">
        <f>L13-H13</f>
        <v>0.0</v>
      </c>
      <c r="N13" s="9" t="inlineStr">
        <is>
          <t>confirmed</t>
        </is>
      </c>
      <c r="O13" s="8">
        <v>0.982</v>
      </c>
      <c r="P13" s="15" t="inlineStr">
        <is>
          <t>Đủ điều kiện</t>
        </is>
      </c>
      <c r="Q13" s="15" t="inlineStr">
        <is>
          <t>GIỮ NGUYÊN</t>
        </is>
      </c>
      <c r="R13" s="4" t="inlineStr">
        <is>
          <t>1100015</t>
        </is>
      </c>
      <c r="S13" s="4" t="inlineStr">
        <is>
          <t/>
        </is>
      </c>
      <c r="T13" s="12" t="inlineStr">
        <is>
          <t>1100015 - Trà thảo mộc Wanglaoji 310ml (98.2) | 1100029 - Nước uống ion kiềm IONVie, 500ml (52.0) | 1100025 - Thức uống bổ sung ION POCARI SWEAT chai 350ML (42.1)</t>
        </is>
      </c>
    </row>
    <row r="14">
      <c r="A14" s="5">
        <v>10</v>
      </c>
      <c r="B14" s="4" t="inlineStr">
        <is>
          <t>LAVIE500TH</t>
        </is>
      </c>
      <c r="C14" s="4" t="inlineStr">
        <is>
          <t>Lavie 500ml</t>
        </is>
      </c>
      <c r="D14" s="4" t="inlineStr">
        <is>
          <t>Thùng</t>
        </is>
      </c>
      <c r="E14" s="6">
        <v>62.99</v>
      </c>
      <c r="F14" s="6">
        <v>24.0</v>
      </c>
      <c r="G14" s="5">
        <v>1511</v>
      </c>
      <c r="H14" s="7">
        <v>25000</v>
      </c>
      <c r="I14" s="4" t="inlineStr">
        <is>
          <t>1100029</t>
        </is>
      </c>
      <c r="J14" s="4" t="inlineStr">
        <is>
          <t>Nước uống ion kiềm IONVie, 500ml</t>
        </is>
      </c>
      <c r="K14" s="4" t="inlineStr">
        <is>
          <t>chai</t>
        </is>
      </c>
      <c r="L14" s="7">
        <v>25000</v>
      </c>
      <c r="M14" s="7">
        <f>L14-H14</f>
        <v>0.0</v>
      </c>
      <c r="N14" s="10" t="inlineStr">
        <is>
          <t>review</t>
        </is>
      </c>
      <c r="O14" s="8">
        <v>0.669</v>
      </c>
      <c r="P14" s="16" t="inlineStr">
        <is>
          <t>Ánh xạ chưa được xác nhận</t>
        </is>
      </c>
      <c r="Q14" s="16" t="inlineStr">
        <is>
          <t>CẦN SỬA</t>
        </is>
      </c>
      <c r="R14" s="4" t="inlineStr">
        <is>
          <t>1100029</t>
        </is>
      </c>
      <c r="S14" s="4" t="inlineStr">
        <is>
          <t/>
        </is>
      </c>
      <c r="T14" s="12" t="inlineStr">
        <is>
          <t>1100029 - Nước uống ion kiềm IONVie, 500ml (66.9) | 1100015 - Trà thảo mộc Wanglaoji 310ml (56.0) | 1100016 - Wewell Sâm Fansipan lon 200ml (44.6)</t>
        </is>
      </c>
    </row>
    <row r="15">
      <c r="A15" s="5">
        <v>11</v>
      </c>
      <c r="B15" s="4" t="inlineStr">
        <is>
          <t>IONVIE350</t>
        </is>
      </c>
      <c r="C15" s="4" t="inlineStr">
        <is>
          <t>Nước uống ion kiềm IONVie, 350ml * 24 chai</t>
        </is>
      </c>
      <c r="D15" s="4" t="inlineStr">
        <is>
          <t>Thùng</t>
        </is>
      </c>
      <c r="E15" s="6">
        <v>64.01</v>
      </c>
      <c r="F15" s="6">
        <v>24.0</v>
      </c>
      <c r="G15" s="5">
        <v>1536</v>
      </c>
      <c r="H15" s="7">
        <v>15000</v>
      </c>
      <c r="I15" s="4" t="inlineStr">
        <is>
          <t>1100028</t>
        </is>
      </c>
      <c r="J15" s="4" t="inlineStr">
        <is>
          <t>Nước uống ion kiềm IONVie, 350ml</t>
        </is>
      </c>
      <c r="K15" s="4" t="inlineStr">
        <is>
          <t>chai</t>
        </is>
      </c>
      <c r="L15" s="7">
        <v>15000</v>
      </c>
      <c r="M15" s="7">
        <f>L15-H15</f>
        <v>0.0</v>
      </c>
      <c r="N15" s="9" t="inlineStr">
        <is>
          <t>confirmed</t>
        </is>
      </c>
      <c r="O15" s="8">
        <v>0.982</v>
      </c>
      <c r="P15" s="15" t="inlineStr">
        <is>
          <t>Đủ điều kiện</t>
        </is>
      </c>
      <c r="Q15" s="15" t="inlineStr">
        <is>
          <t>GIỮ NGUYÊN</t>
        </is>
      </c>
      <c r="R15" s="4" t="inlineStr">
        <is>
          <t>1100028</t>
        </is>
      </c>
      <c r="S15" s="4" t="inlineStr">
        <is>
          <t/>
        </is>
      </c>
      <c r="T15" s="12" t="inlineStr">
        <is>
          <t>1100028 - Nước uống ion kiềm IONVie, 350ml (98.2) | 1100027 - Nước ION kiềm OFAN 350ml (82.9) | 1100017 - Nước suối Lavie 350ml (73.9)</t>
        </is>
      </c>
    </row>
    <row r="16">
      <c r="A16" s="5">
        <v>12</v>
      </c>
      <c r="B16" s="4" t="inlineStr">
        <is>
          <t>TLBM</t>
        </is>
      </c>
      <c r="C16" s="4" t="inlineStr">
        <is>
          <t>Thăng Long B.M</t>
        </is>
      </c>
      <c r="D16" s="4" t="inlineStr">
        <is>
          <t>Bao</t>
        </is>
      </c>
      <c r="E16" s="6">
        <v>66.0</v>
      </c>
      <c r="F16" s="6">
        <v>1.0</v>
      </c>
      <c r="G16" s="5">
        <v>66</v>
      </c>
      <c r="H16" s="7">
        <v>50000</v>
      </c>
      <c r="I16" s="4" t="inlineStr">
        <is>
          <t>1000019</t>
        </is>
      </c>
      <c r="J16" s="4" t="inlineStr">
        <is>
          <t>RONG BIỂN 1</t>
        </is>
      </c>
      <c r="K16" s="4" t="inlineStr">
        <is>
          <t>gói</t>
        </is>
      </c>
      <c r="L16" s="7">
        <v>50000</v>
      </c>
      <c r="M16" s="7">
        <f>L16-H16</f>
        <v>0.0</v>
      </c>
      <c r="N16" s="11" t="inlineStr">
        <is>
          <t>unmatched</t>
        </is>
      </c>
      <c r="O16" s="8">
        <v>0.5529999999999999</v>
      </c>
      <c r="P16" s="16" t="inlineStr">
        <is>
          <t>Ánh xạ chưa được xác nhận</t>
        </is>
      </c>
      <c r="Q16" s="16" t="inlineStr">
        <is>
          <t>CẦN SỬA</t>
        </is>
      </c>
      <c r="R16" s="4" t="inlineStr">
        <is>
          <t>1000019</t>
        </is>
      </c>
      <c r="S16" s="4" t="inlineStr">
        <is>
          <t/>
        </is>
      </c>
      <c r="T16" s="12" t="inlineStr">
        <is>
          <t>1000019 - RONG BIỂN 1 (55.3) | 1400010 - Thuốc Lá Vinataba cứng mới ba (50.0) | 1600009 - TRÀ GỪNG (48.6)</t>
        </is>
      </c>
    </row>
    <row r="17">
      <c r="A17" s="5">
        <v>13</v>
      </c>
      <c r="B17" s="4" t="inlineStr">
        <is>
          <t>NUOCOFAN350</t>
        </is>
      </c>
      <c r="C17" s="4" t="inlineStr">
        <is>
          <t>Nước ION kiềm OFAN 350ml (Thùng 24 chai)</t>
        </is>
      </c>
      <c r="D17" s="4" t="inlineStr">
        <is>
          <t>Thùng</t>
        </is>
      </c>
      <c r="E17" s="6">
        <v>69.96</v>
      </c>
      <c r="F17" s="6">
        <v>24.0</v>
      </c>
      <c r="G17" s="5">
        <v>1679</v>
      </c>
      <c r="H17" s="7">
        <v>15000</v>
      </c>
      <c r="I17" s="4" t="inlineStr">
        <is>
          <t>1100027</t>
        </is>
      </c>
      <c r="J17" s="4" t="inlineStr">
        <is>
          <t>Nước ION kiềm OFAN 350ml</t>
        </is>
      </c>
      <c r="K17" s="4" t="inlineStr">
        <is>
          <t>chai</t>
        </is>
      </c>
      <c r="L17" s="7">
        <v>15000</v>
      </c>
      <c r="M17" s="7">
        <f>L17-H17</f>
        <v>0.0</v>
      </c>
      <c r="N17" s="9" t="inlineStr">
        <is>
          <t>confirmed</t>
        </is>
      </c>
      <c r="O17" s="8">
        <v>0.982</v>
      </c>
      <c r="P17" s="15" t="inlineStr">
        <is>
          <t>Đủ điều kiện</t>
        </is>
      </c>
      <c r="Q17" s="15" t="inlineStr">
        <is>
          <t>GIỮ NGUYÊN</t>
        </is>
      </c>
      <c r="R17" s="4" t="inlineStr">
        <is>
          <t>1100027</t>
        </is>
      </c>
      <c r="S17" s="4" t="inlineStr">
        <is>
          <t/>
        </is>
      </c>
      <c r="T17" s="12" t="inlineStr">
        <is>
          <t>1100027 - Nước ION kiềm OFAN 350ml (98.2) | 1100028 - Nước uống ion kiềm IONVie, 350ml (82.9) | 1100017 - Nước suối Lavie 350ml (70.6)</t>
        </is>
      </c>
    </row>
    <row r="18">
      <c r="A18" s="5">
        <v>14</v>
      </c>
      <c r="B18" s="4" t="inlineStr">
        <is>
          <t>DECUOI60</t>
        </is>
      </c>
      <c r="C18" s="4" t="inlineStr">
        <is>
          <t>Hạt dẻ cười 60 gram</t>
        </is>
      </c>
      <c r="D18" s="4" t="inlineStr">
        <is>
          <t>Gói</t>
        </is>
      </c>
      <c r="E18" s="6">
        <v>74.0</v>
      </c>
      <c r="F18" s="6">
        <v>1.0</v>
      </c>
      <c r="G18" s="5">
        <v>74</v>
      </c>
      <c r="H18" s="7">
        <v>65000</v>
      </c>
      <c r="I18" s="4" t="inlineStr">
        <is>
          <t>1000010</t>
        </is>
      </c>
      <c r="J18" s="4" t="inlineStr">
        <is>
          <t>HẠT DẺ</t>
        </is>
      </c>
      <c r="K18" s="4" t="inlineStr">
        <is>
          <t>gói</t>
        </is>
      </c>
      <c r="L18" s="7">
        <v>65000</v>
      </c>
      <c r="M18" s="7">
        <f>L18-H18</f>
        <v>0.0</v>
      </c>
      <c r="N18" s="10" t="inlineStr">
        <is>
          <t>review</t>
        </is>
      </c>
      <c r="O18" s="8">
        <v>0.929</v>
      </c>
      <c r="P18" s="16" t="inlineStr">
        <is>
          <t>Ánh xạ chưa được xác nhận</t>
        </is>
      </c>
      <c r="Q18" s="16" t="inlineStr">
        <is>
          <t>CẦN SỬA</t>
        </is>
      </c>
      <c r="R18" s="4" t="inlineStr">
        <is>
          <t>1000010</t>
        </is>
      </c>
      <c r="S18" s="4" t="inlineStr">
        <is>
          <t/>
        </is>
      </c>
      <c r="T18" s="12" t="inlineStr">
        <is>
          <t>1000010 - HẠT DẺ (92.9) | 1000011 - HẠT ĐIỀU (69.6) | 1000044 - Mơ Hồng Lam 5 60g (59.6)</t>
        </is>
      </c>
    </row>
    <row r="19">
      <c r="A19" s="5">
        <v>15</v>
      </c>
      <c r="B19" s="4" t="inlineStr">
        <is>
          <t>xí muội</t>
        </is>
      </c>
      <c r="C19" s="4" t="inlineStr">
        <is>
          <t>Xí muội mận không hạt chua ngọt 65g</t>
        </is>
      </c>
      <c r="D19" s="4" t="inlineStr">
        <is>
          <t>Gói</t>
        </is>
      </c>
      <c r="E19" s="6">
        <v>75.0</v>
      </c>
      <c r="F19" s="6">
        <v>1.0</v>
      </c>
      <c r="G19" s="5">
        <v>75</v>
      </c>
      <c r="H19" s="7">
        <v>65000</v>
      </c>
      <c r="I19" s="4" t="inlineStr">
        <is>
          <t>1000045</t>
        </is>
      </c>
      <c r="J19" s="4" t="inlineStr">
        <is>
          <t>Xí muội mận không hạt chua ngọt 65g</t>
        </is>
      </c>
      <c r="K19" s="4" t="inlineStr">
        <is>
          <t>gói</t>
        </is>
      </c>
      <c r="L19" s="7">
        <v>65000</v>
      </c>
      <c r="M19" s="7">
        <f>L19-H19</f>
        <v>0.0</v>
      </c>
      <c r="N19" s="9" t="inlineStr">
        <is>
          <t>confirmed</t>
        </is>
      </c>
      <c r="O19" s="8">
        <v>1.0</v>
      </c>
      <c r="P19" s="15" t="inlineStr">
        <is>
          <t>Đủ điều kiện</t>
        </is>
      </c>
      <c r="Q19" s="15" t="inlineStr">
        <is>
          <t>GIỮ NGUYÊN</t>
        </is>
      </c>
      <c r="R19" s="4" t="inlineStr">
        <is>
          <t>1000045</t>
        </is>
      </c>
      <c r="S19" s="4" t="inlineStr">
        <is>
          <t/>
        </is>
      </c>
      <c r="T19" s="12" t="inlineStr">
        <is>
          <t>1000045 - Xí muội mận không hạt chua ngọt 65g (100.0) | 1000010 - HẠT DẺ (66.2) | 1000011 - HẠT ĐIỀU (66.2)</t>
        </is>
      </c>
    </row>
    <row r="20">
      <c r="A20" s="5">
        <v>16</v>
      </c>
      <c r="B20" s="4" t="inlineStr">
        <is>
          <t>TLĐCCC</t>
        </is>
      </c>
      <c r="C20" s="4" t="inlineStr">
        <is>
          <t>Thuốc lá điếu đầu lọc Camel Compact Caster</t>
        </is>
      </c>
      <c r="D20" s="4" t="inlineStr">
        <is>
          <t>Gói</t>
        </is>
      </c>
      <c r="E20" s="6">
        <v>78.0</v>
      </c>
      <c r="F20" s="6">
        <v>1.0</v>
      </c>
      <c r="G20" s="5">
        <v>78</v>
      </c>
      <c r="H20" s="7">
        <v>60000</v>
      </c>
      <c r="I20" s="4" t="inlineStr">
        <is>
          <t>1400007</t>
        </is>
      </c>
      <c r="J20" s="4" t="inlineStr">
        <is>
          <t>THUỐC LÁ 555</t>
        </is>
      </c>
      <c r="K20" s="4" t="inlineStr">
        <is>
          <t>bao</t>
        </is>
      </c>
      <c r="L20" s="7">
        <v>80000</v>
      </c>
      <c r="M20" s="7">
        <f>L20-H20</f>
        <v>20000.0</v>
      </c>
      <c r="N20" s="10" t="inlineStr">
        <is>
          <t>review</t>
        </is>
      </c>
      <c r="O20" s="8">
        <v>0.6709999999999999</v>
      </c>
      <c r="P20" s="16" t="inlineStr">
        <is>
          <t>Ánh xạ chưa được xác nhận; Giá kho và giá web khác nhau</t>
        </is>
      </c>
      <c r="Q20" s="16" t="inlineStr">
        <is>
          <t>CẦN SỬA</t>
        </is>
      </c>
      <c r="R20" s="4" t="inlineStr">
        <is>
          <t>1400007</t>
        </is>
      </c>
      <c r="S20" s="4" t="inlineStr">
        <is>
          <t/>
        </is>
      </c>
      <c r="T20" s="12" t="inlineStr">
        <is>
          <t>1400007 - THUỐC LÁ 555 (67.1) | 1000013 - HOA QUẢ SẤY (56.4) | 1100006 - HỒNG SÂM HQ (54.0)</t>
        </is>
      </c>
    </row>
    <row r="21">
      <c r="A21" s="5">
        <v>17</v>
      </c>
      <c r="B21" s="4" t="inlineStr">
        <is>
          <t>RUOUVANGDO</t>
        </is>
      </c>
      <c r="C21" s="4" t="inlineStr">
        <is>
          <t>Rượu vang đỏ Luccarelli Negroamaro 750ml</t>
        </is>
      </c>
      <c r="D21" s="4" t="inlineStr">
        <is>
          <t>Chai</t>
        </is>
      </c>
      <c r="E21" s="6">
        <v>84.0</v>
      </c>
      <c r="F21" s="6">
        <v>1.0</v>
      </c>
      <c r="G21" s="5">
        <v>84</v>
      </c>
      <c r="H21" s="7">
        <v>650000</v>
      </c>
      <c r="I21" s="4" t="inlineStr">
        <is>
          <t>1300013</t>
        </is>
      </c>
      <c r="J21" s="4" t="inlineStr">
        <is>
          <t>Rượu vang đỏ Luccarelli Negroamaro 750ml</t>
        </is>
      </c>
      <c r="K21" s="4" t="inlineStr">
        <is>
          <t>chai</t>
        </is>
      </c>
      <c r="L21" s="7">
        <v>650000</v>
      </c>
      <c r="M21" s="7">
        <f>L21-H21</f>
        <v>0.0</v>
      </c>
      <c r="N21" s="9" t="inlineStr">
        <is>
          <t>confirmed</t>
        </is>
      </c>
      <c r="O21" s="8">
        <v>1.0</v>
      </c>
      <c r="P21" s="15" t="inlineStr">
        <is>
          <t>Đủ điều kiện</t>
        </is>
      </c>
      <c r="Q21" s="15" t="inlineStr">
        <is>
          <t>GIỮ NGUYÊN</t>
        </is>
      </c>
      <c r="R21" s="4" t="inlineStr">
        <is>
          <t>1300013</t>
        </is>
      </c>
      <c r="S21" s="4" t="inlineStr">
        <is>
          <t/>
        </is>
      </c>
      <c r="T21" s="12" t="inlineStr">
        <is>
          <t>1300013 - Rượu vang đỏ Luccarelli Negroamaro 750ml (100.0) | 1300006 - VANG 68 (67.9) | 1300012 - Rượu vang đỏ Domaine Haute Brande 750ml (65.0)</t>
        </is>
      </c>
    </row>
    <row r="22">
      <c r="A22" s="5">
        <v>18</v>
      </c>
      <c r="B22" s="4" t="inlineStr">
        <is>
          <t>TL555SB</t>
        </is>
      </c>
      <c r="C22" s="4" t="inlineStr">
        <is>
          <t>Thuốc lá 555 Signature Blue</t>
        </is>
      </c>
      <c r="D22" s="4" t="inlineStr">
        <is>
          <t>Bao</t>
        </is>
      </c>
      <c r="E22" s="6">
        <v>87.0</v>
      </c>
      <c r="F22" s="6">
        <v>1.0</v>
      </c>
      <c r="G22" s="5">
        <v>87</v>
      </c>
      <c r="H22" s="7">
        <v>80000</v>
      </c>
      <c r="I22" s="4" t="inlineStr">
        <is>
          <t>1400007</t>
        </is>
      </c>
      <c r="J22" s="4" t="inlineStr">
        <is>
          <t>THUỐC LÁ 555</t>
        </is>
      </c>
      <c r="K22" s="4" t="inlineStr">
        <is>
          <t>bao</t>
        </is>
      </c>
      <c r="L22" s="7">
        <v>80000</v>
      </c>
      <c r="M22" s="7">
        <f>L22-H22</f>
        <v>0.0</v>
      </c>
      <c r="N22" s="10" t="inlineStr">
        <is>
          <t>review</t>
        </is>
      </c>
      <c r="O22" s="8">
        <v>0.929</v>
      </c>
      <c r="P22" s="16" t="inlineStr">
        <is>
          <t>Ánh xạ chưa được xác nhận</t>
        </is>
      </c>
      <c r="Q22" s="16" t="inlineStr">
        <is>
          <t>CẦN SỬA</t>
        </is>
      </c>
      <c r="R22" s="4" t="inlineStr">
        <is>
          <t>1400007</t>
        </is>
      </c>
      <c r="S22" s="4" t="inlineStr">
        <is>
          <t/>
        </is>
      </c>
      <c r="T22" s="12" t="inlineStr">
        <is>
          <t>1400007 - THUỐC LÁ 555 (92.9) | 1400010 - Thuốc Lá Vinataba cứng mới ba (58.9) | 1400008 - THUOC LA MAN (49.3)</t>
        </is>
      </c>
    </row>
    <row r="23">
      <c r="A23" s="5">
        <v>19</v>
      </c>
      <c r="B23" s="4" t="inlineStr">
        <is>
          <t>TLDSLIM</t>
        </is>
      </c>
      <c r="C23" s="4" t="inlineStr">
        <is>
          <t>Thuốc lá điếu Thăng long Slim</t>
        </is>
      </c>
      <c r="D23" s="4" t="inlineStr">
        <is>
          <t>Bao</t>
        </is>
      </c>
      <c r="E23" s="6">
        <v>90.0</v>
      </c>
      <c r="F23" s="6">
        <v>1.0</v>
      </c>
      <c r="G23" s="5">
        <v>90</v>
      </c>
      <c r="H23" s="7">
        <v>50000</v>
      </c>
      <c r="I23" s="4" t="inlineStr">
        <is>
          <t>1400007</t>
        </is>
      </c>
      <c r="J23" s="4" t="inlineStr">
        <is>
          <t>THUỐC LÁ 555</t>
        </is>
      </c>
      <c r="K23" s="4" t="inlineStr">
        <is>
          <t>bao</t>
        </is>
      </c>
      <c r="L23" s="7">
        <v>80000</v>
      </c>
      <c r="M23" s="7">
        <f>L23-H23</f>
        <v>30000.0</v>
      </c>
      <c r="N23" s="10" t="inlineStr">
        <is>
          <t>review</t>
        </is>
      </c>
      <c r="O23" s="8">
        <v>0.679</v>
      </c>
      <c r="P23" s="16" t="inlineStr">
        <is>
          <t>Ánh xạ chưa được xác nhận; Giá kho và giá web khác nhau</t>
        </is>
      </c>
      <c r="Q23" s="16" t="inlineStr">
        <is>
          <t>CẦN SỬA</t>
        </is>
      </c>
      <c r="R23" s="4" t="inlineStr">
        <is>
          <t>1400007</t>
        </is>
      </c>
      <c r="S23" s="4" t="inlineStr">
        <is>
          <t/>
        </is>
      </c>
      <c r="T23" s="12" t="inlineStr">
        <is>
          <t>1400007 - THUỐC LÁ 555 (67.9) | 1400010 - Thuốc Lá Vinataba cứng mới ba (60.8) | 1000042 - Khoai Lang Sấy (55.0)</t>
        </is>
      </c>
    </row>
    <row r="24">
      <c r="A24" s="5">
        <v>20</v>
      </c>
      <c r="B24" s="4" t="inlineStr">
        <is>
          <t>CHANGA28G</t>
        </is>
      </c>
      <c r="C24" s="4" t="inlineStr">
        <is>
          <t>Chân Gà Rút Xương 28g (Thùng = 240 gói)</t>
        </is>
      </c>
      <c r="D24" s="4" t="inlineStr">
        <is>
          <t>Gói</t>
        </is>
      </c>
      <c r="E24" s="6">
        <v>92.0</v>
      </c>
      <c r="F24" s="6">
        <v>1.0</v>
      </c>
      <c r="G24" s="5">
        <v>92</v>
      </c>
      <c r="H24" s="7">
        <v>20000</v>
      </c>
      <c r="I24" s="4" t="inlineStr">
        <is>
          <t>1000048</t>
        </is>
      </c>
      <c r="J24" s="4" t="inlineStr">
        <is>
          <t>Chân Gà Rút Xương 28g</t>
        </is>
      </c>
      <c r="K24" s="4" t="inlineStr">
        <is>
          <t>gói</t>
        </is>
      </c>
      <c r="L24" s="7">
        <v>20000</v>
      </c>
      <c r="M24" s="7">
        <f>L24-H24</f>
        <v>0.0</v>
      </c>
      <c r="N24" s="9" t="inlineStr">
        <is>
          <t>confirmed</t>
        </is>
      </c>
      <c r="O24" s="8">
        <v>1.0</v>
      </c>
      <c r="P24" s="15" t="inlineStr">
        <is>
          <t>Đủ điều kiện</t>
        </is>
      </c>
      <c r="Q24" s="15" t="inlineStr">
        <is>
          <t>GIỮ NGUYÊN</t>
        </is>
      </c>
      <c r="R24" s="4" t="inlineStr">
        <is>
          <t>1000048</t>
        </is>
      </c>
      <c r="S24" s="4" t="inlineStr">
        <is>
          <t/>
        </is>
      </c>
      <c r="T24" s="12" t="inlineStr">
        <is>
          <t>1000048 - Chân Gà Rút Xương 28g (100.0) | 1000061 - Chân gà rút xương bà Tuyết 26g (79.8) | 1000007 - CHÂN GÀ - CAY (67.9)</t>
        </is>
      </c>
    </row>
    <row r="25">
      <c r="A25" s="5">
        <v>21</v>
      </c>
      <c r="B25" s="4" t="inlineStr">
        <is>
          <t>TLBC</t>
        </is>
      </c>
      <c r="C25" s="4" t="inlineStr">
        <is>
          <t>Thăng Long B.C</t>
        </is>
      </c>
      <c r="D25" s="4" t="inlineStr">
        <is>
          <t>Bao</t>
        </is>
      </c>
      <c r="E25" s="6">
        <v>100.0</v>
      </c>
      <c r="F25" s="6">
        <v>1.0</v>
      </c>
      <c r="G25" s="5">
        <v>100</v>
      </c>
      <c r="H25" s="7">
        <v>50000</v>
      </c>
      <c r="I25" s="4" t="inlineStr">
        <is>
          <t>1000019</t>
        </is>
      </c>
      <c r="J25" s="4" t="inlineStr">
        <is>
          <t>RONG BIỂN 1</t>
        </is>
      </c>
      <c r="K25" s="4" t="inlineStr">
        <is>
          <t>gói</t>
        </is>
      </c>
      <c r="L25" s="7">
        <v>50000</v>
      </c>
      <c r="M25" s="7">
        <f>L25-H25</f>
        <v>0.0</v>
      </c>
      <c r="N25" s="11" t="inlineStr">
        <is>
          <t>unmatched</t>
        </is>
      </c>
      <c r="O25" s="8">
        <v>0.5529999999999999</v>
      </c>
      <c r="P25" s="16" t="inlineStr">
        <is>
          <t>Ánh xạ chưa được xác nhận</t>
        </is>
      </c>
      <c r="Q25" s="16" t="inlineStr">
        <is>
          <t>CẦN SỬA</t>
        </is>
      </c>
      <c r="R25" s="4" t="inlineStr">
        <is>
          <t>1000019</t>
        </is>
      </c>
      <c r="S25" s="4" t="inlineStr">
        <is>
          <t/>
        </is>
      </c>
      <c r="T25" s="12" t="inlineStr">
        <is>
          <t>1000019 - RONG BIỂN 1 (55.3) | 1000007 - CHÂN GÀ - CAY (50.3) | 1400010 - Thuốc Lá Vinataba cứng mới ba (50.0)</t>
        </is>
      </c>
    </row>
    <row r="26">
      <c r="A26" s="5">
        <v>22</v>
      </c>
      <c r="B26" s="4" t="inlineStr">
        <is>
          <t>TLSLIM</t>
        </is>
      </c>
      <c r="C26" s="4" t="inlineStr">
        <is>
          <t>Thăng long Slim bao cứng</t>
        </is>
      </c>
      <c r="D26" s="4" t="inlineStr">
        <is>
          <t>Bao</t>
        </is>
      </c>
      <c r="E26" s="6">
        <v>100.0</v>
      </c>
      <c r="F26" s="6">
        <v>1.0</v>
      </c>
      <c r="G26" s="5">
        <v>100</v>
      </c>
      <c r="H26" s="7">
        <v>50000</v>
      </c>
      <c r="I26" s="4" t="inlineStr">
        <is>
          <t>1400010</t>
        </is>
      </c>
      <c r="J26" s="4" t="inlineStr">
        <is>
          <t>Thuốc Lá Vinataba cứng mới ba</t>
        </is>
      </c>
      <c r="K26" s="4" t="inlineStr">
        <is>
          <t>bao</t>
        </is>
      </c>
      <c r="L26" s="7">
        <v>60000</v>
      </c>
      <c r="M26" s="7">
        <f>L26-H26</f>
        <v>10000.0</v>
      </c>
      <c r="N26" s="11" t="inlineStr">
        <is>
          <t>unmatched</t>
        </is>
      </c>
      <c r="O26" s="8">
        <v>0.52</v>
      </c>
      <c r="P26" s="16" t="inlineStr">
        <is>
          <t>Ánh xạ chưa được xác nhận; Giá kho và giá web khác nhau</t>
        </is>
      </c>
      <c r="Q26" s="16" t="inlineStr">
        <is>
          <t>CẦN SỬA</t>
        </is>
      </c>
      <c r="R26" s="4" t="inlineStr">
        <is>
          <t>1400010</t>
        </is>
      </c>
      <c r="S26" s="4" t="inlineStr">
        <is>
          <t/>
        </is>
      </c>
      <c r="T26" s="12" t="inlineStr">
        <is>
          <t>1400010 - Thuốc Lá Vinataba cứng mới ba (52.0) | 1600009 - TRÀ GỪNG (49.2) | 1000042 - Khoai Lang Sấy (48.9)</t>
        </is>
      </c>
    </row>
    <row r="27">
      <c r="A27" s="5">
        <v>23</v>
      </c>
      <c r="B27" s="4" t="inlineStr">
        <is>
          <t>QUYTRAXANH</t>
        </is>
      </c>
      <c r="C27" s="4" t="inlineStr">
        <is>
          <t>BÁNH QUY QUE VỊ TRÀ XANH 36G (CHOCO007)</t>
        </is>
      </c>
      <c r="D27" s="4" t="inlineStr">
        <is>
          <t>Hộp</t>
        </is>
      </c>
      <c r="E27" s="6">
        <v>108.0</v>
      </c>
      <c r="F27" s="6">
        <v>1.0</v>
      </c>
      <c r="G27" s="5">
        <v>108</v>
      </c>
      <c r="H27" s="7">
        <v>40000</v>
      </c>
      <c r="I27" s="4" t="inlineStr">
        <is>
          <t>1000025</t>
        </is>
      </c>
      <c r="J27" s="4" t="inlineStr">
        <is>
          <t>Bánh quy que</t>
        </is>
      </c>
      <c r="K27" s="4" t="inlineStr">
        <is>
          <t>hộp</t>
        </is>
      </c>
      <c r="L27" s="7">
        <v>40000</v>
      </c>
      <c r="M27" s="7">
        <f>L27-H27</f>
        <v>0.0</v>
      </c>
      <c r="N27" s="10" t="inlineStr">
        <is>
          <t>review</t>
        </is>
      </c>
      <c r="O27" s="8">
        <v>0.929</v>
      </c>
      <c r="P27" s="16" t="inlineStr">
        <is>
          <t>Ánh xạ chưa được xác nhận</t>
        </is>
      </c>
      <c r="Q27" s="16" t="inlineStr">
        <is>
          <t>CẦN SỬA</t>
        </is>
      </c>
      <c r="R27" s="4" t="inlineStr">
        <is>
          <t>1000025</t>
        </is>
      </c>
      <c r="S27" s="4" t="inlineStr">
        <is>
          <t/>
        </is>
      </c>
      <c r="T27" s="12" t="inlineStr">
        <is>
          <t>1000025 - Bánh quy que (92.9) | 1000001 - BANH QUE (80.9) | 1000039 - DOSI Da Heo Cháy Tỏi (45.8)</t>
        </is>
      </c>
    </row>
    <row r="28">
      <c r="A28" s="5">
        <v>24</v>
      </c>
      <c r="B28" s="4" t="inlineStr">
        <is>
          <t>QUYVIETQUAT</t>
        </is>
      </c>
      <c r="C28" s="4" t="inlineStr">
        <is>
          <t>BÁNH QUY QUE VỊ VIỆT QUẤT 36G (CHOCO008)</t>
        </is>
      </c>
      <c r="D28" s="4" t="inlineStr">
        <is>
          <t>Hộp</t>
        </is>
      </c>
      <c r="E28" s="6">
        <v>108.0</v>
      </c>
      <c r="F28" s="6">
        <v>1.0</v>
      </c>
      <c r="G28" s="5">
        <v>108</v>
      </c>
      <c r="H28" s="7">
        <v>40000</v>
      </c>
      <c r="I28" s="4" t="inlineStr">
        <is>
          <t>1000025</t>
        </is>
      </c>
      <c r="J28" s="4" t="inlineStr">
        <is>
          <t>Bánh quy que</t>
        </is>
      </c>
      <c r="K28" s="4" t="inlineStr">
        <is>
          <t>hộp</t>
        </is>
      </c>
      <c r="L28" s="7">
        <v>40000</v>
      </c>
      <c r="M28" s="7">
        <f>L28-H28</f>
        <v>0.0</v>
      </c>
      <c r="N28" s="10" t="inlineStr">
        <is>
          <t>review</t>
        </is>
      </c>
      <c r="O28" s="8">
        <v>0.929</v>
      </c>
      <c r="P28" s="16" t="inlineStr">
        <is>
          <t>Ánh xạ chưa được xác nhận</t>
        </is>
      </c>
      <c r="Q28" s="16" t="inlineStr">
        <is>
          <t>CẦN SỬA</t>
        </is>
      </c>
      <c r="R28" s="4" t="inlineStr">
        <is>
          <t>1000025</t>
        </is>
      </c>
      <c r="S28" s="4" t="inlineStr">
        <is>
          <t/>
        </is>
      </c>
      <c r="T28" s="12" t="inlineStr">
        <is>
          <t>1000025 - Bánh quy que (92.9) | 1000001 - BANH QUE (80.9) | 1000039 - DOSI Da Heo Cháy Tỏi (41.5)</t>
        </is>
      </c>
    </row>
    <row r="29">
      <c r="A29" s="5">
        <v>25</v>
      </c>
      <c r="B29" s="4" t="inlineStr">
        <is>
          <t>saubaotu</t>
        </is>
      </c>
      <c r="C29" s="4" t="inlineStr">
        <is>
          <t>Sấu bao tử 100gg</t>
        </is>
      </c>
      <c r="D29" s="4" t="inlineStr">
        <is>
          <t>Gói</t>
        </is>
      </c>
      <c r="E29" s="6">
        <v>108.0</v>
      </c>
      <c r="F29" s="6">
        <v>1.0</v>
      </c>
      <c r="G29" s="5">
        <v>108</v>
      </c>
      <c r="H29" s="7">
        <v>70000</v>
      </c>
      <c r="I29" s="4" t="inlineStr">
        <is>
          <t>1000054</t>
        </is>
      </c>
      <c r="J29" s="4" t="inlineStr">
        <is>
          <t>Sấu bao tử 100gg</t>
        </is>
      </c>
      <c r="K29" s="4" t="inlineStr">
        <is>
          <t>gói</t>
        </is>
      </c>
      <c r="L29" s="7">
        <v>70000</v>
      </c>
      <c r="M29" s="7">
        <f>L29-H29</f>
        <v>0.0</v>
      </c>
      <c r="N29" s="9" t="inlineStr">
        <is>
          <t>confirmed</t>
        </is>
      </c>
      <c r="O29" s="8">
        <v>1.0</v>
      </c>
      <c r="P29" s="15" t="inlineStr">
        <is>
          <t>Đủ điều kiện</t>
        </is>
      </c>
      <c r="Q29" s="15" t="inlineStr">
        <is>
          <t>GIỮ NGUYÊN</t>
        </is>
      </c>
      <c r="R29" s="4" t="inlineStr">
        <is>
          <t>1000054</t>
        </is>
      </c>
      <c r="S29" s="4" t="inlineStr">
        <is>
          <t/>
        </is>
      </c>
      <c r="T29" s="12" t="inlineStr">
        <is>
          <t>1000054 - Sấu bao tử 100gg (100.0) | 1000017 - Ô MAI HỒNG LAM (55.0) | 1000044 - Mơ Hồng Lam 5 60g (54.6)</t>
        </is>
      </c>
    </row>
    <row r="30">
      <c r="A30" s="5">
        <v>26</v>
      </c>
      <c r="B30" s="4" t="inlineStr">
        <is>
          <t>bkm</t>
        </is>
      </c>
      <c r="C30" s="4" t="inlineStr">
        <is>
          <t>Bò khô miếng 32g</t>
        </is>
      </c>
      <c r="D30" s="4" t="inlineStr">
        <is>
          <t>Gói</t>
        </is>
      </c>
      <c r="E30" s="6">
        <v>116.0</v>
      </c>
      <c r="F30" s="6">
        <v>1.0</v>
      </c>
      <c r="G30" s="5">
        <v>116</v>
      </c>
      <c r="H30" s="7">
        <v>65000</v>
      </c>
      <c r="I30" s="4" t="inlineStr">
        <is>
          <t>1000004</t>
        </is>
      </c>
      <c r="J30" s="4" t="inlineStr">
        <is>
          <t>BÒ KHÔ MIẾNG</t>
        </is>
      </c>
      <c r="K30" s="4" t="inlineStr">
        <is>
          <t>gói</t>
        </is>
      </c>
      <c r="L30" s="7">
        <v>90000</v>
      </c>
      <c r="M30" s="7">
        <f>L30-H30</f>
        <v>25000.0</v>
      </c>
      <c r="N30" s="10" t="inlineStr">
        <is>
          <t>review</t>
        </is>
      </c>
      <c r="O30" s="8">
        <v>0.679</v>
      </c>
      <c r="P30" s="16" t="inlineStr">
        <is>
          <t>Ánh xạ chưa được xác nhận; Giá kho và giá web khác nhau</t>
        </is>
      </c>
      <c r="Q30" s="16" t="inlineStr">
        <is>
          <t>CẦN SỬA</t>
        </is>
      </c>
      <c r="R30" s="4" t="inlineStr">
        <is>
          <t>1000004</t>
        </is>
      </c>
      <c r="S30" s="4" t="inlineStr">
        <is>
          <t/>
        </is>
      </c>
      <c r="T30" s="12" t="inlineStr">
        <is>
          <t>1000004 - BÒ KHÔ MIẾNG (67.9) | 1000017 - Ô MAI HỒNG LAM (61.6) | 1000044 - Mơ Hồng Lam 5 60g (60.1)</t>
        </is>
      </c>
    </row>
    <row r="31">
      <c r="A31" s="5">
        <v>27</v>
      </c>
      <c r="B31" s="4" t="inlineStr">
        <is>
          <t>mohonglam</t>
        </is>
      </c>
      <c r="C31" s="4" t="inlineStr">
        <is>
          <t>Mơ Hồng Lam 5 60g</t>
        </is>
      </c>
      <c r="D31" s="4" t="inlineStr">
        <is>
          <t>Gói</t>
        </is>
      </c>
      <c r="E31" s="6">
        <v>140.0</v>
      </c>
      <c r="F31" s="6">
        <v>1.0</v>
      </c>
      <c r="G31" s="5">
        <v>140</v>
      </c>
      <c r="H31" s="7">
        <v>50000</v>
      </c>
      <c r="I31" s="4" t="inlineStr">
        <is>
          <t>1000044</t>
        </is>
      </c>
      <c r="J31" s="4" t="inlineStr">
        <is>
          <t>Mơ Hồng Lam 5 60g</t>
        </is>
      </c>
      <c r="K31" s="4" t="inlineStr">
        <is>
          <t>gói</t>
        </is>
      </c>
      <c r="L31" s="7">
        <v>70000</v>
      </c>
      <c r="M31" s="7">
        <f>L31-H31</f>
        <v>20000.0</v>
      </c>
      <c r="N31" s="10" t="inlineStr">
        <is>
          <t>review</t>
        </is>
      </c>
      <c r="O31" s="8">
        <v>0.75</v>
      </c>
      <c r="P31" s="16" t="inlineStr">
        <is>
          <t>Ánh xạ chưa được xác nhận; Giá kho và giá web khác nhau</t>
        </is>
      </c>
      <c r="Q31" s="16" t="inlineStr">
        <is>
          <t>CẦN SỬA</t>
        </is>
      </c>
      <c r="R31" s="4" t="inlineStr">
        <is>
          <t>1000044</t>
        </is>
      </c>
      <c r="S31" s="4" t="inlineStr">
        <is>
          <t/>
        </is>
      </c>
      <c r="T31" s="12" t="inlineStr">
        <is>
          <t>1000044 - Mơ Hồng Lam 5 60g (75.0) | 1000041 - DOSI Tóp mỡ cuộn cháy tỏi (61.6) | 1000019 - RONG BIỂN 1 (60.2)</t>
        </is>
      </c>
    </row>
    <row r="32">
      <c r="A32" s="5">
        <v>28</v>
      </c>
      <c r="B32" s="4" t="inlineStr">
        <is>
          <t>YENSANESTTH</t>
        </is>
      </c>
      <c r="C32" s="4" t="inlineStr">
        <is>
          <t>Nước yến Sanest lon T x 190ml</t>
        </is>
      </c>
      <c r="D32" s="4" t="inlineStr">
        <is>
          <t>Thùng</t>
        </is>
      </c>
      <c r="E32" s="6">
        <v>140.38</v>
      </c>
      <c r="F32" s="6">
        <v>30.0</v>
      </c>
      <c r="G32" s="5">
        <v>4211</v>
      </c>
      <c r="H32" s="7">
        <v>30000</v>
      </c>
      <c r="I32" s="4" t="inlineStr">
        <is>
          <t>1100012</t>
        </is>
      </c>
      <c r="J32" s="4" t="inlineStr">
        <is>
          <t>NƯỚC YẾN LON</t>
        </is>
      </c>
      <c r="K32" s="4" t="inlineStr">
        <is>
          <t>chai</t>
        </is>
      </c>
      <c r="L32" s="7">
        <v>30000</v>
      </c>
      <c r="M32" s="7">
        <f>L32-H32</f>
        <v>0.0</v>
      </c>
      <c r="N32" s="10" t="inlineStr">
        <is>
          <t>review</t>
        </is>
      </c>
      <c r="O32" s="8">
        <v>0.9109999999999999</v>
      </c>
      <c r="P32" s="16" t="inlineStr">
        <is>
          <t>Ánh xạ chưa được xác nhận</t>
        </is>
      </c>
      <c r="Q32" s="16" t="inlineStr">
        <is>
          <t>CẦN SỬA</t>
        </is>
      </c>
      <c r="R32" s="4" t="inlineStr">
        <is>
          <t>1100012</t>
        </is>
      </c>
      <c r="S32" s="4" t="inlineStr">
        <is>
          <t/>
        </is>
      </c>
      <c r="T32" s="12" t="inlineStr">
        <is>
          <t>1100012 - NƯỚC YẾN LON (91.1) | 1100020 - Nước yến Sanest lon (91.1) | 1100011 - NƯỚC YẾN (66.1)</t>
        </is>
      </c>
    </row>
    <row r="33">
      <c r="A33" s="5">
        <v>29</v>
      </c>
      <c r="B33" s="4" t="inlineStr">
        <is>
          <t>KHOAILANGSAY</t>
        </is>
      </c>
      <c r="C33" s="4" t="inlineStr">
        <is>
          <t>ONENUTS Khoai Lang Sấy Vị Mật ong 70g</t>
        </is>
      </c>
      <c r="D33" s="4" t="inlineStr">
        <is>
          <t>Hộp</t>
        </is>
      </c>
      <c r="E33" s="6">
        <v>142.0</v>
      </c>
      <c r="F33" s="6">
        <v>1.0</v>
      </c>
      <c r="G33" s="5">
        <v>142</v>
      </c>
      <c r="H33" s="7">
        <v>50000</v>
      </c>
      <c r="I33" s="4" t="inlineStr">
        <is>
          <t>1000042</t>
        </is>
      </c>
      <c r="J33" s="4" t="inlineStr">
        <is>
          <t>Khoai Lang Sấy</t>
        </is>
      </c>
      <c r="K33" s="4" t="inlineStr">
        <is>
          <t>hộp</t>
        </is>
      </c>
      <c r="L33" s="7">
        <v>50000</v>
      </c>
      <c r="M33" s="7">
        <f>L33-H33</f>
        <v>0.0</v>
      </c>
      <c r="N33" s="9" t="inlineStr">
        <is>
          <t>confirmed</t>
        </is>
      </c>
      <c r="O33" s="8">
        <v>0.929</v>
      </c>
      <c r="P33" s="15" t="inlineStr">
        <is>
          <t>Đủ điều kiện</t>
        </is>
      </c>
      <c r="Q33" s="15" t="inlineStr">
        <is>
          <t>GIỮ NGUYÊN</t>
        </is>
      </c>
      <c r="R33" s="4" t="inlineStr">
        <is>
          <t>1000042</t>
        </is>
      </c>
      <c r="S33" s="4" t="inlineStr">
        <is>
          <t/>
        </is>
      </c>
      <c r="T33" s="12" t="inlineStr">
        <is>
          <t>1000042 - Khoai Lang Sấy (92.9) | 1000016 - KHOAI TÂY HỘP (52.4) | 1600003 - NƯỚC CHANH MUỐI (42.6)</t>
        </is>
      </c>
    </row>
    <row r="34">
      <c r="A34" s="5">
        <v>30</v>
      </c>
      <c r="B34" s="4" t="inlineStr">
        <is>
          <t>CAMELBT</t>
        </is>
      </c>
      <c r="C34" s="4" t="inlineStr">
        <is>
          <t>Thuốc lá điếu đầu lọc Camel Caster Black Tea</t>
        </is>
      </c>
      <c r="D34" s="4" t="inlineStr">
        <is>
          <t>Bao</t>
        </is>
      </c>
      <c r="E34" s="6">
        <v>179.0</v>
      </c>
      <c r="F34" s="6">
        <v>1.0</v>
      </c>
      <c r="G34" s="5">
        <v>179</v>
      </c>
      <c r="H34" s="7">
        <v>80000</v>
      </c>
      <c r="I34" s="4" t="inlineStr">
        <is>
          <t>1400007</t>
        </is>
      </c>
      <c r="J34" s="4" t="inlineStr">
        <is>
          <t>THUỐC LÁ 555</t>
        </is>
      </c>
      <c r="K34" s="4" t="inlineStr">
        <is>
          <t>bao</t>
        </is>
      </c>
      <c r="L34" s="7">
        <v>80000</v>
      </c>
      <c r="M34" s="7">
        <f>L34-H34</f>
        <v>0.0</v>
      </c>
      <c r="N34" s="10" t="inlineStr">
        <is>
          <t>review</t>
        </is>
      </c>
      <c r="O34" s="8">
        <v>0.929</v>
      </c>
      <c r="P34" s="16" t="inlineStr">
        <is>
          <t>Ánh xạ chưa được xác nhận</t>
        </is>
      </c>
      <c r="Q34" s="16" t="inlineStr">
        <is>
          <t>CẦN SỬA</t>
        </is>
      </c>
      <c r="R34" s="4" t="inlineStr">
        <is>
          <t>1400007</t>
        </is>
      </c>
      <c r="S34" s="4" t="inlineStr">
        <is>
          <t/>
        </is>
      </c>
      <c r="T34" s="12" t="inlineStr">
        <is>
          <t>1400007 - THUỐC LÁ 555 (92.9) | 1400010 - Thuốc Lá Vinataba cứng mới ba (53.0) | 1400008 - THUOC LA MAN (49.3)</t>
        </is>
      </c>
    </row>
    <row r="35">
      <c r="A35" s="5">
        <v>31</v>
      </c>
      <c r="B35" s="4" t="inlineStr">
        <is>
          <t>Hạt macadamia</t>
        </is>
      </c>
      <c r="C35" s="4" t="inlineStr">
        <is>
          <t>Hạt macadamia chưa tách vỏ, đã qua chế biến ( DO TQSX)</t>
        </is>
      </c>
      <c r="D35" s="4" t="inlineStr">
        <is>
          <t>kg</t>
        </is>
      </c>
      <c r="E35" s="6">
        <v>182.19</v>
      </c>
      <c r="F35" s="6">
        <v>1.0</v>
      </c>
      <c r="G35" s="5">
        <v>182</v>
      </c>
      <c r="H35" s="7">
        <v>65000</v>
      </c>
      <c r="I35" s="4" t="inlineStr">
        <is>
          <t>1000010</t>
        </is>
      </c>
      <c r="J35" s="4" t="inlineStr">
        <is>
          <t>HẠT DẺ</t>
        </is>
      </c>
      <c r="K35" s="4" t="inlineStr">
        <is>
          <t>gói</t>
        </is>
      </c>
      <c r="L35" s="7">
        <v>65000</v>
      </c>
      <c r="M35" s="7">
        <f>L35-H35</f>
        <v>0.0</v>
      </c>
      <c r="N35" s="11" t="inlineStr">
        <is>
          <t>unmatched</t>
        </is>
      </c>
      <c r="O35" s="8">
        <v>0.542</v>
      </c>
      <c r="P35" s="16" t="inlineStr">
        <is>
          <t>Ánh xạ chưa được xác nhận</t>
        </is>
      </c>
      <c r="Q35" s="16" t="inlineStr">
        <is>
          <t>CẦN SỬA</t>
        </is>
      </c>
      <c r="R35" s="4" t="inlineStr">
        <is>
          <t>1000010</t>
        </is>
      </c>
      <c r="S35" s="4" t="inlineStr">
        <is>
          <t/>
        </is>
      </c>
      <c r="T35" s="12" t="inlineStr">
        <is>
          <t>1000010 - HẠT DẺ (54.2) | 1000011 - HẠT ĐIỀU (54.2) | 1000045 - Xí muội mận không hạt chua ngọt 65g (41.3)</t>
        </is>
      </c>
    </row>
    <row r="36">
      <c r="A36" s="5">
        <v>32</v>
      </c>
      <c r="B36" s="4" t="inlineStr">
        <is>
          <t>HATDECUOIRM</t>
        </is>
      </c>
      <c r="C36" s="4" t="inlineStr">
        <is>
          <t>Hạt dẻ cười rang muối</t>
        </is>
      </c>
      <c r="D36" s="4" t="inlineStr">
        <is>
          <t>Gói</t>
        </is>
      </c>
      <c r="E36" s="6">
        <v>198.0</v>
      </c>
      <c r="F36" s="6">
        <v>1.0</v>
      </c>
      <c r="G36" s="5">
        <v>198</v>
      </c>
      <c r="H36" s="7">
        <v>40000</v>
      </c>
      <c r="I36" s="4" t="inlineStr">
        <is>
          <t>1000010</t>
        </is>
      </c>
      <c r="J36" s="4" t="inlineStr">
        <is>
          <t>HẠT DẺ</t>
        </is>
      </c>
      <c r="K36" s="4" t="inlineStr">
        <is>
          <t>gói</t>
        </is>
      </c>
      <c r="L36" s="7">
        <v>65000</v>
      </c>
      <c r="M36" s="7">
        <f>L36-H36</f>
        <v>25000.0</v>
      </c>
      <c r="N36" s="10" t="inlineStr">
        <is>
          <t>review</t>
        </is>
      </c>
      <c r="O36" s="8">
        <v>0.679</v>
      </c>
      <c r="P36" s="16" t="inlineStr">
        <is>
          <t>Ánh xạ chưa được xác nhận; Giá kho và giá web khác nhau</t>
        </is>
      </c>
      <c r="Q36" s="16" t="inlineStr">
        <is>
          <t>CẦN SỬA</t>
        </is>
      </c>
      <c r="R36" s="4" t="inlineStr">
        <is>
          <t>1000010</t>
        </is>
      </c>
      <c r="S36" s="4" t="inlineStr">
        <is>
          <t/>
        </is>
      </c>
      <c r="T36" s="12" t="inlineStr">
        <is>
          <t>1000010 - HẠT DẺ (67.9) | 1000049 - Đậu mix hạt tổng hợp Cam Nguyên 56 gam (57.9) | 1000001 - BANH QUE (55.5)</t>
        </is>
      </c>
    </row>
    <row r="37">
      <c r="A37" s="5">
        <v>33</v>
      </c>
      <c r="B37" s="4" t="inlineStr">
        <is>
          <t>DOSIDAHEO</t>
        </is>
      </c>
      <c r="C37" s="4" t="inlineStr">
        <is>
          <t>DOSI Da Heo Cháy Tỏi Vị Thịt Nướng BBQ Hàn Quốc 30g</t>
        </is>
      </c>
      <c r="D37" s="4" t="inlineStr">
        <is>
          <t>Gói</t>
        </is>
      </c>
      <c r="E37" s="6">
        <v>219.0</v>
      </c>
      <c r="F37" s="6">
        <v>1.0</v>
      </c>
      <c r="G37" s="5">
        <v>219</v>
      </c>
      <c r="H37" s="7">
        <v>40000</v>
      </c>
      <c r="I37" s="4" t="inlineStr">
        <is>
          <t>1000039</t>
        </is>
      </c>
      <c r="J37" s="4" t="inlineStr">
        <is>
          <t>DOSI Da Heo Cháy Tỏi</t>
        </is>
      </c>
      <c r="K37" s="4" t="inlineStr">
        <is>
          <t>gói</t>
        </is>
      </c>
      <c r="L37" s="7">
        <v>40000</v>
      </c>
      <c r="M37" s="7">
        <f>L37-H37</f>
        <v>0.0</v>
      </c>
      <c r="N37" s="9" t="inlineStr">
        <is>
          <t>confirmed</t>
        </is>
      </c>
      <c r="O37" s="8">
        <v>0.929</v>
      </c>
      <c r="P37" s="15" t="inlineStr">
        <is>
          <t>Đủ điều kiện</t>
        </is>
      </c>
      <c r="Q37" s="15" t="inlineStr">
        <is>
          <t>GIỮ NGUYÊN</t>
        </is>
      </c>
      <c r="R37" s="4" t="inlineStr">
        <is>
          <t>1000039</t>
        </is>
      </c>
      <c r="S37" s="4" t="inlineStr">
        <is>
          <t/>
        </is>
      </c>
      <c r="T37" s="12" t="inlineStr">
        <is>
          <t>1000039 - DOSI Da Heo Cháy Tỏi (92.9) | 1000008 - DA HEO (79.1) | 1000012 - HEO NƯỚNG (67.9)</t>
        </is>
      </c>
    </row>
    <row r="38">
      <c r="A38" s="5">
        <v>34</v>
      </c>
      <c r="B38" s="4" t="inlineStr">
        <is>
          <t>BIM2PM</t>
        </is>
      </c>
      <c r="C38" s="4" t="inlineStr">
        <is>
          <t>Lay's Wavy vi Pho Mai Cheddar 28g 16x10</t>
        </is>
      </c>
      <c r="D38" s="4" t="inlineStr">
        <is>
          <t>Gói</t>
        </is>
      </c>
      <c r="E38" s="6">
        <v>250.0</v>
      </c>
      <c r="F38" s="6">
        <v>1.0</v>
      </c>
      <c r="G38" s="5">
        <v>250</v>
      </c>
      <c r="H38" s="7">
        <v>15000</v>
      </c>
      <c r="I38" s="4" t="inlineStr">
        <is>
          <t>1000053</t>
        </is>
      </c>
      <c r="J38" s="4" t="inlineStr">
        <is>
          <t>Lay's Wavy vi Pho Mai Cheddar 28g 16x10</t>
        </is>
      </c>
      <c r="K38" s="4" t="inlineStr">
        <is>
          <t>gói</t>
        </is>
      </c>
      <c r="L38" s="7">
        <v>15000</v>
      </c>
      <c r="M38" s="7">
        <f>L38-H38</f>
        <v>0.0</v>
      </c>
      <c r="N38" s="9" t="inlineStr">
        <is>
          <t>confirmed</t>
        </is>
      </c>
      <c r="O38" s="8">
        <v>1.0</v>
      </c>
      <c r="P38" s="15" t="inlineStr">
        <is>
          <t>Đủ điều kiện</t>
        </is>
      </c>
      <c r="Q38" s="15" t="inlineStr">
        <is>
          <t>GIỮ NGUYÊN</t>
        </is>
      </c>
      <c r="R38" s="4" t="inlineStr">
        <is>
          <t>1000053</t>
        </is>
      </c>
      <c r="S38" s="4" t="inlineStr">
        <is>
          <t/>
        </is>
      </c>
      <c r="T38" s="12" t="inlineStr">
        <is>
          <t>1000053 - Lay's Wavy vi Pho Mai Cheddar 28g 16x10 (100.0) | 1000052 - Lay's Wavy vi muoi nguyen ban 30G 16X10 (77.2) | 1000050 - Lay's vi Khoai Tay Tu Nhien Classic 30g 16x10 (70.1)</t>
        </is>
      </c>
    </row>
    <row r="39">
      <c r="A39" s="5">
        <v>35</v>
      </c>
      <c r="B39" s="4" t="inlineStr">
        <is>
          <t>BIM2VIMUOI</t>
        </is>
      </c>
      <c r="C39" s="4" t="inlineStr">
        <is>
          <t>Lay's Wavy vi muoi nguyen ban 30G 16X10</t>
        </is>
      </c>
      <c r="D39" s="4" t="inlineStr">
        <is>
          <t>Gói</t>
        </is>
      </c>
      <c r="E39" s="6">
        <v>250.0</v>
      </c>
      <c r="F39" s="6">
        <v>1.0</v>
      </c>
      <c r="G39" s="5">
        <v>250</v>
      </c>
      <c r="H39" s="7">
        <v>15000</v>
      </c>
      <c r="I39" s="4" t="inlineStr">
        <is>
          <t>1000052</t>
        </is>
      </c>
      <c r="J39" s="4" t="inlineStr">
        <is>
          <t>Lay's Wavy vi muoi nguyen ban 30G 16X10</t>
        </is>
      </c>
      <c r="K39" s="4" t="inlineStr">
        <is>
          <t>gói</t>
        </is>
      </c>
      <c r="L39" s="7">
        <v>15000</v>
      </c>
      <c r="M39" s="7">
        <f>L39-H39</f>
        <v>0.0</v>
      </c>
      <c r="N39" s="9" t="inlineStr">
        <is>
          <t>confirmed</t>
        </is>
      </c>
      <c r="O39" s="8">
        <v>1.0</v>
      </c>
      <c r="P39" s="15" t="inlineStr">
        <is>
          <t>Đủ điều kiện</t>
        </is>
      </c>
      <c r="Q39" s="15" t="inlineStr">
        <is>
          <t>GIỮ NGUYÊN</t>
        </is>
      </c>
      <c r="R39" s="4" t="inlineStr">
        <is>
          <t>1000052</t>
        </is>
      </c>
      <c r="S39" s="4" t="inlineStr">
        <is>
          <t/>
        </is>
      </c>
      <c r="T39" s="12" t="inlineStr">
        <is>
          <t>1000052 - Lay's Wavy vi muoi nguyen ban 30G 16X10 (100.0) | 1000050 - Lay's vi Khoai Tay Tu Nhien Classic 30g 16x10 (79.3) | 1000051 - Lay's vi Than Bo Nuong Texas 30G 16X10 (76.6)</t>
        </is>
      </c>
    </row>
    <row r="40">
      <c r="A40" s="5">
        <v>36</v>
      </c>
      <c r="B40" s="4" t="inlineStr">
        <is>
          <t>NUOCYEN3VI</t>
        </is>
      </c>
      <c r="C40" s="4" t="inlineStr">
        <is>
          <t>Nước yến 3 vị</t>
        </is>
      </c>
      <c r="D40" s="4" t="inlineStr">
        <is>
          <t>hũ</t>
        </is>
      </c>
      <c r="E40" s="6">
        <v>263.0</v>
      </c>
      <c r="F40" s="6">
        <v>1.0</v>
      </c>
      <c r="G40" s="5">
        <v>263</v>
      </c>
      <c r="H40" s="7">
        <v>75000</v>
      </c>
      <c r="I40" s="4" t="inlineStr">
        <is>
          <t>1100011</t>
        </is>
      </c>
      <c r="J40" s="4" t="inlineStr">
        <is>
          <t>NƯỚC YẾN</t>
        </is>
      </c>
      <c r="K40" s="4" t="inlineStr">
        <is>
          <t>chai</t>
        </is>
      </c>
      <c r="L40" s="7">
        <v>90000</v>
      </c>
      <c r="M40" s="7">
        <f>L40-H40</f>
        <v>15000.0</v>
      </c>
      <c r="N40" s="10" t="inlineStr">
        <is>
          <t>review</t>
        </is>
      </c>
      <c r="O40" s="8">
        <v>0.718</v>
      </c>
      <c r="P40" s="16" t="inlineStr">
        <is>
          <t>Ánh xạ chưa được xác nhận; Giá kho và giá web khác nhau</t>
        </is>
      </c>
      <c r="Q40" s="16" t="inlineStr">
        <is>
          <t>CẦN SỬA</t>
        </is>
      </c>
      <c r="R40" s="4" t="inlineStr">
        <is>
          <t>1100011</t>
        </is>
      </c>
      <c r="S40" s="4" t="inlineStr">
        <is>
          <t/>
        </is>
      </c>
      <c r="T40" s="12" t="inlineStr">
        <is>
          <t>1100011 - NƯỚC YẾN (71.8) | 1100012 - NƯỚC YẾN LON (60.5) | 1100020 - Nước yến Sanest lon (55.9)</t>
        </is>
      </c>
    </row>
    <row r="41">
      <c r="A41" s="5">
        <v>37</v>
      </c>
      <c r="B41" s="4" t="inlineStr">
        <is>
          <t>TRUNGALACO</t>
        </is>
      </c>
      <c r="C41" s="4" t="inlineStr">
        <is>
          <t>Trứng cút vị muối nướng Alaco 45g</t>
        </is>
      </c>
      <c r="D41" s="4" t="inlineStr">
        <is>
          <t>Gói</t>
        </is>
      </c>
      <c r="E41" s="6">
        <v>290.0</v>
      </c>
      <c r="F41" s="6">
        <v>1.0</v>
      </c>
      <c r="G41" s="5">
        <v>290</v>
      </c>
      <c r="H41" s="7">
        <v>35000</v>
      </c>
      <c r="I41" s="4" t="inlineStr">
        <is>
          <t>1000058</t>
        </is>
      </c>
      <c r="J41" s="4" t="inlineStr">
        <is>
          <t>Trứng cút vị muối nướng Alaco 45g</t>
        </is>
      </c>
      <c r="K41" s="4" t="inlineStr">
        <is>
          <t>gói</t>
        </is>
      </c>
      <c r="L41" s="7">
        <v>35000</v>
      </c>
      <c r="M41" s="7">
        <f>L41-H41</f>
        <v>0.0</v>
      </c>
      <c r="N41" s="9" t="inlineStr">
        <is>
          <t>confirmed</t>
        </is>
      </c>
      <c r="O41" s="8">
        <v>1.0</v>
      </c>
      <c r="P41" s="15" t="inlineStr">
        <is>
          <t>Đủ điều kiện</t>
        </is>
      </c>
      <c r="Q41" s="15" t="inlineStr">
        <is>
          <t>GIỮ NGUYÊN</t>
        </is>
      </c>
      <c r="R41" s="4" t="inlineStr">
        <is>
          <t>1000058</t>
        </is>
      </c>
      <c r="S41" s="4" t="inlineStr">
        <is>
          <t/>
        </is>
      </c>
      <c r="T41" s="12" t="inlineStr">
        <is>
          <t>1000058 - Trứng cút vị muối nướng Alaco 45g (100.0) | 1000045 - Xí muội mận không hạt chua ngọt 65g (42.7) | 1000012 - HEO NƯỚNG (41.2)</t>
        </is>
      </c>
    </row>
    <row r="42">
      <c r="A42" s="5">
        <v>38</v>
      </c>
      <c r="B42" s="4" t="inlineStr">
        <is>
          <t>BANHYAN2coc</t>
        </is>
      </c>
      <c r="C42" s="4" t="inlineStr">
        <is>
          <t>Bánh Yan Yan 44gr, 50gr</t>
        </is>
      </c>
      <c r="D42" s="4" t="inlineStr">
        <is>
          <t>cốc</t>
        </is>
      </c>
      <c r="E42" s="6">
        <v>314.0</v>
      </c>
      <c r="F42" s="6">
        <v>1.0</v>
      </c>
      <c r="G42" s="5">
        <v>314</v>
      </c>
      <c r="H42" s="7">
        <v>30000</v>
      </c>
      <c r="I42" s="4" t="inlineStr">
        <is>
          <t>1100012</t>
        </is>
      </c>
      <c r="J42" s="4" t="inlineStr">
        <is>
          <t>NƯỚC YẾN LON</t>
        </is>
      </c>
      <c r="K42" s="4" t="inlineStr">
        <is>
          <t>chai</t>
        </is>
      </c>
      <c r="L42" s="7">
        <v>30000</v>
      </c>
      <c r="M42" s="7">
        <f>L42-H42</f>
        <v>0.0</v>
      </c>
      <c r="N42" s="11" t="inlineStr">
        <is>
          <t>unmatched</t>
        </is>
      </c>
      <c r="O42" s="8">
        <v>0.48</v>
      </c>
      <c r="P42" s="16" t="inlineStr">
        <is>
          <t>Ánh xạ chưa được xác nhận</t>
        </is>
      </c>
      <c r="Q42" s="16" t="inlineStr">
        <is>
          <t>CẦN SỬA</t>
        </is>
      </c>
      <c r="R42" s="4" t="inlineStr">
        <is>
          <t>1100012</t>
        </is>
      </c>
      <c r="S42" s="4" t="inlineStr">
        <is>
          <t/>
        </is>
      </c>
      <c r="T42" s="12" t="inlineStr">
        <is>
          <t>1100012 - NƯỚC YẾN LON (48.0) | 1100018 - Bia chai Saigon Special 330ml (47.7) | 1000060 - Bánh que đỏ Stick Biscuit 55 gram (44.0)</t>
        </is>
      </c>
    </row>
    <row r="43">
      <c r="A43" s="5">
        <v>39</v>
      </c>
      <c r="B43" s="4" t="inlineStr">
        <is>
          <t>Bia crystal250</t>
        </is>
      </c>
      <c r="C43" s="4" t="inlineStr">
        <is>
          <t>Bia Tiger Crystal 250x24 SLK Ctn 13</t>
        </is>
      </c>
      <c r="D43" s="4" t="inlineStr">
        <is>
          <t>Thùng</t>
        </is>
      </c>
      <c r="E43" s="6">
        <v>318.77</v>
      </c>
      <c r="F43" s="6">
        <v>24.0</v>
      </c>
      <c r="G43" s="5">
        <v>7650</v>
      </c>
      <c r="H43" s="7">
        <v>45000</v>
      </c>
      <c r="I43" s="4" t="inlineStr">
        <is>
          <t>1100019</t>
        </is>
      </c>
      <c r="J43" s="4" t="inlineStr">
        <is>
          <t>Bia Tiger Crystal</t>
        </is>
      </c>
      <c r="K43" s="4" t="inlineStr">
        <is>
          <t>chai</t>
        </is>
      </c>
      <c r="L43" s="7">
        <v>45000</v>
      </c>
      <c r="M43" s="7">
        <f>L43-H43</f>
        <v>0.0</v>
      </c>
      <c r="N43" s="9" t="inlineStr">
        <is>
          <t>confirmed</t>
        </is>
      </c>
      <c r="O43" s="8">
        <v>0.9109999999999999</v>
      </c>
      <c r="P43" s="15" t="inlineStr">
        <is>
          <t>Đủ điều kiện</t>
        </is>
      </c>
      <c r="Q43" s="15" t="inlineStr">
        <is>
          <t>GIỮ NGUYÊN</t>
        </is>
      </c>
      <c r="R43" s="4" t="inlineStr">
        <is>
          <t>1100019</t>
        </is>
      </c>
      <c r="S43" s="4" t="inlineStr">
        <is>
          <t/>
        </is>
      </c>
      <c r="T43" s="12" t="inlineStr">
        <is>
          <t>1100019 - Bia Tiger Crystal (91.1) | 1100003 - Bia Tiger bạc (64.4) | 1100022 - Bia Heineken (64.4)</t>
        </is>
      </c>
    </row>
    <row r="44">
      <c r="A44" s="5">
        <v>40</v>
      </c>
      <c r="B44" s="4" t="inlineStr">
        <is>
          <t>LAVIE350TH</t>
        </is>
      </c>
      <c r="C44" s="4" t="inlineStr">
        <is>
          <t>Lavie 350ml</t>
        </is>
      </c>
      <c r="D44" s="4" t="inlineStr">
        <is>
          <t>Thùng</t>
        </is>
      </c>
      <c r="E44" s="6">
        <v>320.0</v>
      </c>
      <c r="F44" s="6">
        <v>24.0</v>
      </c>
      <c r="G44" s="5">
        <v>7680</v>
      </c>
      <c r="H44" s="7">
        <v>15000</v>
      </c>
      <c r="I44" s="4" t="inlineStr">
        <is>
          <t>1100017</t>
        </is>
      </c>
      <c r="J44" s="4" t="inlineStr">
        <is>
          <t>Nước suối Lavie 350ml</t>
        </is>
      </c>
      <c r="K44" s="4" t="inlineStr">
        <is>
          <t>chai</t>
        </is>
      </c>
      <c r="L44" s="7">
        <v>15000</v>
      </c>
      <c r="M44" s="7">
        <f>L44-H44</f>
        <v>0.0</v>
      </c>
      <c r="N44" s="9" t="inlineStr">
        <is>
          <t>confirmed</t>
        </is>
      </c>
      <c r="O44" s="8">
        <v>0.9359999999999999</v>
      </c>
      <c r="P44" s="15" t="inlineStr">
        <is>
          <t>Đủ điều kiện</t>
        </is>
      </c>
      <c r="Q44" s="15" t="inlineStr">
        <is>
          <t>GIỮ NGUYÊN</t>
        </is>
      </c>
      <c r="R44" s="4" t="inlineStr">
        <is>
          <t>1100017</t>
        </is>
      </c>
      <c r="S44" s="4" t="inlineStr">
        <is>
          <t/>
        </is>
      </c>
      <c r="T44" s="12" t="inlineStr">
        <is>
          <t>1100017 - Nước suối Lavie 350ml (93.6) | 1100027 - Nước ION kiềm OFAN 350ml (66.9) | 1100028 - Nước uống ion kiềm IONVie, 350ml (66.9)</t>
        </is>
      </c>
    </row>
    <row r="45">
      <c r="A45" s="5">
        <v>41</v>
      </c>
      <c r="B45" s="4" t="inlineStr">
        <is>
          <t>BANHPEANUT45G</t>
        </is>
      </c>
      <c r="C45" s="4" t="inlineStr">
        <is>
          <t>Bánh xốp Loacker ClassicPeanut Butter 45g</t>
        </is>
      </c>
      <c r="D45" s="4" t="inlineStr">
        <is>
          <t>Thanh</t>
        </is>
      </c>
      <c r="E45" s="6">
        <v>321.0</v>
      </c>
      <c r="F45" s="6">
        <v>1.0</v>
      </c>
      <c r="G45" s="5">
        <v>321</v>
      </c>
      <c r="H45" s="7">
        <v>60000</v>
      </c>
      <c r="I45" s="4" t="inlineStr">
        <is>
          <t>1000033</t>
        </is>
      </c>
      <c r="J45" s="4" t="inlineStr">
        <is>
          <t>Loacker Bánh Xốp Kem 45g</t>
        </is>
      </c>
      <c r="K45" s="4" t="inlineStr">
        <is>
          <t>gói</t>
        </is>
      </c>
      <c r="L45" s="7">
        <v>60000</v>
      </c>
      <c r="M45" s="7">
        <f>L45-H45</f>
        <v>0.0</v>
      </c>
      <c r="N45" s="10" t="inlineStr">
        <is>
          <t>review</t>
        </is>
      </c>
      <c r="O45" s="8">
        <v>0.727</v>
      </c>
      <c r="P45" s="16" t="inlineStr">
        <is>
          <t>Ánh xạ chưa được xác nhận</t>
        </is>
      </c>
      <c r="Q45" s="16" t="inlineStr">
        <is>
          <t>CẦN SỬA</t>
        </is>
      </c>
      <c r="R45" s="4" t="inlineStr">
        <is>
          <t>1000033</t>
        </is>
      </c>
      <c r="S45" s="4" t="inlineStr">
        <is>
          <t/>
        </is>
      </c>
      <c r="T45" s="12" t="inlineStr">
        <is>
          <t>1000033 - Loacker Bánh Xốp Kem 45g (72.7) | 1000034 - Bánh xốp classic 45g (70.0) | 1000022 - Bánh khoai tây chiên 60g (50.0)</t>
        </is>
      </c>
    </row>
    <row r="46">
      <c r="A46" s="5">
        <v>42</v>
      </c>
      <c r="B46" s="4" t="inlineStr">
        <is>
          <t>TLĐTL</t>
        </is>
      </c>
      <c r="C46" s="4" t="inlineStr">
        <is>
          <t>Thuốc lá điếu Thăng Long</t>
        </is>
      </c>
      <c r="D46" s="4" t="inlineStr">
        <is>
          <t>Bao</t>
        </is>
      </c>
      <c r="E46" s="6">
        <v>475.0</v>
      </c>
      <c r="F46" s="6">
        <v>1.0</v>
      </c>
      <c r="G46" s="5">
        <v>475</v>
      </c>
      <c r="H46" s="7">
        <v>50000</v>
      </c>
      <c r="I46" s="4" t="inlineStr">
        <is>
          <t>1400007</t>
        </is>
      </c>
      <c r="J46" s="4" t="inlineStr">
        <is>
          <t>THUỐC LÁ 555</t>
        </is>
      </c>
      <c r="K46" s="4" t="inlineStr">
        <is>
          <t>bao</t>
        </is>
      </c>
      <c r="L46" s="7">
        <v>80000</v>
      </c>
      <c r="M46" s="7">
        <f>L46-H46</f>
        <v>30000.0</v>
      </c>
      <c r="N46" s="10" t="inlineStr">
        <is>
          <t>review</t>
        </is>
      </c>
      <c r="O46" s="8">
        <v>0.679</v>
      </c>
      <c r="P46" s="16" t="inlineStr">
        <is>
          <t>Ánh xạ chưa được xác nhận; Giá kho và giá web khác nhau</t>
        </is>
      </c>
      <c r="Q46" s="16" t="inlineStr">
        <is>
          <t>CẦN SỬA</t>
        </is>
      </c>
      <c r="R46" s="4" t="inlineStr">
        <is>
          <t>1400007</t>
        </is>
      </c>
      <c r="S46" s="4" t="inlineStr">
        <is>
          <t/>
        </is>
      </c>
      <c r="T46" s="12" t="inlineStr">
        <is>
          <t>1400007 - THUỐC LÁ 555 (67.9) | 1400010 - Thuốc Lá Vinataba cứng mới ba (62.0) | 1600005 - NƯỚC DƯA HẤU (57.4)</t>
        </is>
      </c>
    </row>
    <row r="47">
      <c r="A47" s="5">
        <v>43</v>
      </c>
      <c r="B47" s="4" t="inlineStr">
        <is>
          <t>DOSIQUAY</t>
        </is>
      </c>
      <c r="C47" s="4" t="inlineStr">
        <is>
          <t>DOSI Snack Quẩy Xoắn Vị Chua Cay 80g</t>
        </is>
      </c>
      <c r="D47" s="4" t="inlineStr">
        <is>
          <t>Gói</t>
        </is>
      </c>
      <c r="E47" s="6">
        <v>489.0</v>
      </c>
      <c r="F47" s="6">
        <v>1.0</v>
      </c>
      <c r="G47" s="5">
        <v>489</v>
      </c>
      <c r="H47" s="7">
        <v>30000</v>
      </c>
      <c r="I47" s="4" t="inlineStr">
        <is>
          <t>1000040</t>
        </is>
      </c>
      <c r="J47" s="4" t="inlineStr">
        <is>
          <t>DOSI Snack Quẩy Xoắn</t>
        </is>
      </c>
      <c r="K47" s="4" t="inlineStr">
        <is>
          <t>gói</t>
        </is>
      </c>
      <c r="L47" s="7">
        <v>30000</v>
      </c>
      <c r="M47" s="7">
        <f>L47-H47</f>
        <v>0.0</v>
      </c>
      <c r="N47" s="9" t="inlineStr">
        <is>
          <t>confirmed</t>
        </is>
      </c>
      <c r="O47" s="8">
        <v>0.929</v>
      </c>
      <c r="P47" s="15" t="inlineStr">
        <is>
          <t>Đủ điều kiện</t>
        </is>
      </c>
      <c r="Q47" s="15" t="inlineStr">
        <is>
          <t>GIỮ NGUYÊN</t>
        </is>
      </c>
      <c r="R47" s="4" t="inlineStr">
        <is>
          <t>1000040</t>
        </is>
      </c>
      <c r="S47" s="4" t="inlineStr">
        <is>
          <t/>
        </is>
      </c>
      <c r="T47" s="12" t="inlineStr">
        <is>
          <t>1000040 - DOSI Snack Quẩy Xoắn (92.9) | 1000060 - Bánh que đỏ Stick Biscuit 55 gram (52.1) | 1000039 - DOSI Da Heo Cháy Tỏi (50.6)</t>
        </is>
      </c>
    </row>
    <row r="48">
      <c r="A48" s="5">
        <v>44</v>
      </c>
      <c r="B48" s="4" t="inlineStr">
        <is>
          <t>BANH XOP</t>
        </is>
      </c>
      <c r="C48" s="4" t="inlineStr">
        <is>
          <t>Bánh xốp classic 45g</t>
        </is>
      </c>
      <c r="D48" s="4" t="inlineStr">
        <is>
          <t>Gói</t>
        </is>
      </c>
      <c r="E48" s="6">
        <v>776.0</v>
      </c>
      <c r="F48" s="6">
        <v>1.0</v>
      </c>
      <c r="G48" s="5">
        <v>776</v>
      </c>
      <c r="H48" s="7">
        <v>60000</v>
      </c>
      <c r="I48" s="4" t="inlineStr">
        <is>
          <t>1000034</t>
        </is>
      </c>
      <c r="J48" s="4" t="inlineStr">
        <is>
          <t>Bánh xốp classic 45g</t>
        </is>
      </c>
      <c r="K48" s="4" t="inlineStr">
        <is>
          <t>gói</t>
        </is>
      </c>
      <c r="L48" s="7">
        <v>60000</v>
      </c>
      <c r="M48" s="7">
        <f>L48-H48</f>
        <v>0.0</v>
      </c>
      <c r="N48" s="9" t="inlineStr">
        <is>
          <t>confirmed</t>
        </is>
      </c>
      <c r="O48" s="8">
        <v>1.0</v>
      </c>
      <c r="P48" s="15" t="inlineStr">
        <is>
          <t>Đủ điều kiện</t>
        </is>
      </c>
      <c r="Q48" s="15" t="inlineStr">
        <is>
          <t>GIỮ NGUYÊN</t>
        </is>
      </c>
      <c r="R48" s="4" t="inlineStr">
        <is>
          <t>1000034</t>
        </is>
      </c>
      <c r="S48" s="4" t="inlineStr">
        <is>
          <t/>
        </is>
      </c>
      <c r="T48" s="12" t="inlineStr">
        <is>
          <t>1000034 - Bánh xốp classic 45g (100.0) | 1000033 - Loacker Bánh Xốp Kem 45g (82.0) | 1000047 - Bánh snack bắp 40g Vfoods (57.6)</t>
        </is>
      </c>
    </row>
    <row r="49">
      <c r="A49" s="5">
        <v>45</v>
      </c>
      <c r="B49" s="4" t="inlineStr">
        <is>
          <t>bomiengto60g</t>
        </is>
      </c>
      <c r="C49" s="4" t="inlineStr">
        <is>
          <t>Bò miếng to 60g</t>
        </is>
      </c>
      <c r="D49" s="4" t="inlineStr">
        <is>
          <t>Thùng</t>
        </is>
      </c>
      <c r="E49" s="6">
        <v>1104.38</v>
      </c>
      <c r="F49" s="6">
        <v>1.0</v>
      </c>
      <c r="G49" s="5">
        <v>1104</v>
      </c>
      <c r="H49" s="7">
        <v>90000</v>
      </c>
      <c r="I49" s="4" t="inlineStr">
        <is>
          <t>1000043</t>
        </is>
      </c>
      <c r="J49" s="4" t="inlineStr">
        <is>
          <t>Bò miếng to 60g</t>
        </is>
      </c>
      <c r="K49" s="4" t="inlineStr">
        <is>
          <t>gói</t>
        </is>
      </c>
      <c r="L49" s="7">
        <v>90000</v>
      </c>
      <c r="M49" s="7">
        <f>L49-H49</f>
        <v>0.0</v>
      </c>
      <c r="N49" s="9" t="inlineStr">
        <is>
          <t>confirmed</t>
        </is>
      </c>
      <c r="O49" s="8">
        <v>0.88</v>
      </c>
      <c r="P49" s="15" t="inlineStr">
        <is>
          <t>Đủ điều kiện</t>
        </is>
      </c>
      <c r="Q49" s="15" t="inlineStr">
        <is>
          <t>GIỮ NGUYÊN</t>
        </is>
      </c>
      <c r="R49" s="4" t="inlineStr">
        <is>
          <t>1000043</t>
        </is>
      </c>
      <c r="S49" s="4" t="inlineStr">
        <is>
          <t/>
        </is>
      </c>
      <c r="T49" s="12" t="inlineStr">
        <is>
          <t>1000043 - Bò miếng to 60g (88.0) | 1000004 - BÒ KHÔ MIẾNG (63.1) | 1000044 - Mơ Hồng Lam 5 60g (48.9)</t>
        </is>
      </c>
    </row>
    <row r="50">
      <c r="A50" s="5">
        <v>46</v>
      </c>
      <c r="B50" s="4" t="inlineStr">
        <is>
          <t>YENMIXVI</t>
        </is>
      </c>
      <c r="C50" s="4" t="inlineStr">
        <is>
          <t>Yến chưng mix vị</t>
        </is>
      </c>
      <c r="D50" s="4" t="inlineStr">
        <is>
          <t>hũ</t>
        </is>
      </c>
      <c r="E50" s="6">
        <v>1164.0</v>
      </c>
      <c r="F50" s="6">
        <v>1.0</v>
      </c>
      <c r="G50" s="5">
        <v>1164</v>
      </c>
      <c r="H50" s="7">
        <v>90000</v>
      </c>
      <c r="I50" s="4" t="inlineStr">
        <is>
          <t>1100021</t>
        </is>
      </c>
      <c r="J50" s="4" t="inlineStr">
        <is>
          <t>Yến chưng</t>
        </is>
      </c>
      <c r="K50" s="4" t="inlineStr">
        <is>
          <t>Hũ</t>
        </is>
      </c>
      <c r="L50" s="7">
        <v>90000</v>
      </c>
      <c r="M50" s="7">
        <f>L50-H50</f>
        <v>0.0</v>
      </c>
      <c r="N50" s="9" t="inlineStr">
        <is>
          <t>confirmed</t>
        </is>
      </c>
      <c r="O50" s="8">
        <v>0.929</v>
      </c>
      <c r="P50" s="15" t="inlineStr">
        <is>
          <t>Đủ điều kiện</t>
        </is>
      </c>
      <c r="Q50" s="15" t="inlineStr">
        <is>
          <t>GIỮ NGUYÊN</t>
        </is>
      </c>
      <c r="R50" s="4" t="inlineStr">
        <is>
          <t>1100021</t>
        </is>
      </c>
      <c r="S50" s="4" t="inlineStr">
        <is>
          <t/>
        </is>
      </c>
      <c r="T50" s="12" t="inlineStr">
        <is>
          <t>1100021 - Yến chưng (92.9) | 1100011 - NƯỚC YẾN (54.2) | 1200003 - CHEN DUNG SHISA (52.4)</t>
        </is>
      </c>
    </row>
    <row r="51">
      <c r="A51" s="5">
        <v>47</v>
      </c>
      <c r="B51" s="4" t="inlineStr">
        <is>
          <t>DOSITOPMO</t>
        </is>
      </c>
      <c r="C51" s="4" t="inlineStr">
        <is>
          <t>DOSI Tóp mỡ cuộn cháy tỏi 30g</t>
        </is>
      </c>
      <c r="D51" s="4" t="inlineStr">
        <is>
          <t>Thùng</t>
        </is>
      </c>
      <c r="E51" s="6">
        <v>1670.07</v>
      </c>
      <c r="F51" s="6">
        <v>1.0</v>
      </c>
      <c r="G51" s="5">
        <v>1670</v>
      </c>
      <c r="H51" s="7">
        <v>50000</v>
      </c>
      <c r="I51" s="4" t="inlineStr">
        <is>
          <t>1000041</t>
        </is>
      </c>
      <c r="J51" s="4" t="inlineStr">
        <is>
          <t>DOSI Tóp mỡ cuộn cháy tỏi</t>
        </is>
      </c>
      <c r="K51" s="4" t="inlineStr">
        <is>
          <t>gói</t>
        </is>
      </c>
      <c r="L51" s="7">
        <v>50000</v>
      </c>
      <c r="M51" s="7">
        <f>L51-H51</f>
        <v>0.0</v>
      </c>
      <c r="N51" s="9" t="inlineStr">
        <is>
          <t>confirmed</t>
        </is>
      </c>
      <c r="O51" s="8">
        <v>0.812</v>
      </c>
      <c r="P51" s="15" t="inlineStr">
        <is>
          <t>Đủ điều kiện</t>
        </is>
      </c>
      <c r="Q51" s="15" t="inlineStr">
        <is>
          <t>GIỮ NGUYÊN</t>
        </is>
      </c>
      <c r="R51" s="4" t="inlineStr">
        <is>
          <t>1000041</t>
        </is>
      </c>
      <c r="S51" s="4" t="inlineStr">
        <is>
          <t/>
        </is>
      </c>
      <c r="T51" s="12" t="inlineStr">
        <is>
          <t>1000041 - DOSI Tóp mỡ cuộn cháy tỏi (81.2) | 1000020 - TÓP MỠ HEO (49.3) | 1000039 - DOSI Da Heo Cháy Tỏi (49.3)</t>
        </is>
      </c>
    </row>
    <row r="52">
      <c r="A52" s="5">
        <v>48</v>
      </c>
      <c r="B52" s="4" t="inlineStr">
        <is>
          <t>SWEAT350</t>
        </is>
      </c>
      <c r="C52" s="4" t="inlineStr">
        <is>
          <t>Thức uống bổ sung ION POCARI SWEAT chai 350ML</t>
        </is>
      </c>
      <c r="D52" s="4" t="inlineStr">
        <is>
          <t>Chai</t>
        </is>
      </c>
      <c r="E52" s="6">
        <v>1909.0</v>
      </c>
      <c r="F52" s="6">
        <v>1.0</v>
      </c>
      <c r="G52" s="5">
        <v>1909</v>
      </c>
      <c r="H52" s="7">
        <v>30000</v>
      </c>
      <c r="I52" s="4" t="inlineStr">
        <is>
          <t>1100025</t>
        </is>
      </c>
      <c r="J52" s="4" t="inlineStr">
        <is>
          <t>Thức uống bổ sung ION POCARI SWEAT chai 350ML</t>
        </is>
      </c>
      <c r="K52" s="4" t="inlineStr">
        <is>
          <t>chai</t>
        </is>
      </c>
      <c r="L52" s="7">
        <v>30000</v>
      </c>
      <c r="M52" s="7">
        <f>L52-H52</f>
        <v>0.0</v>
      </c>
      <c r="N52" s="9" t="inlineStr">
        <is>
          <t>confirmed</t>
        </is>
      </c>
      <c r="O52" s="8">
        <v>1.0</v>
      </c>
      <c r="P52" s="15" t="inlineStr">
        <is>
          <t>Đủ điều kiện</t>
        </is>
      </c>
      <c r="Q52" s="15" t="inlineStr">
        <is>
          <t>GIỮ NGUYÊN</t>
        </is>
      </c>
      <c r="R52" s="4" t="inlineStr">
        <is>
          <t>1100025</t>
        </is>
      </c>
      <c r="S52" s="4" t="inlineStr">
        <is>
          <t/>
        </is>
      </c>
      <c r="T52" s="12" t="inlineStr">
        <is>
          <t>1100025 - Thức uống bổ sung ION POCARI SWEAT chai 350ML (100.0) | 1100018 - Bia chai Saigon Special 330ml (57.4) | 1100026 - NƯỚC STC VQUẤT THTRUEJUICEMILK 300MLX24 (56.3)</t>
        </is>
      </c>
    </row>
    <row r="53">
      <c r="A53" s="5">
        <v>49</v>
      </c>
      <c r="B53" s="4" t="inlineStr">
        <is>
          <t>BANHXOPKEM</t>
        </is>
      </c>
      <c r="C53" s="4" t="inlineStr">
        <is>
          <t>Loacker Bánh Xốp Kem 45g</t>
        </is>
      </c>
      <c r="D53" s="4" t="inlineStr">
        <is>
          <t>Gói</t>
        </is>
      </c>
      <c r="E53" s="6">
        <v>3739.0</v>
      </c>
      <c r="F53" s="6">
        <v>1.0</v>
      </c>
      <c r="G53" s="5">
        <v>3739</v>
      </c>
      <c r="H53" s="7">
        <v>60000</v>
      </c>
      <c r="I53" s="4" t="inlineStr">
        <is>
          <t>1000033</t>
        </is>
      </c>
      <c r="J53" s="4" t="inlineStr">
        <is>
          <t>Loacker Bánh Xốp Kem 45g</t>
        </is>
      </c>
      <c r="K53" s="4" t="inlineStr">
        <is>
          <t>gói</t>
        </is>
      </c>
      <c r="L53" s="7">
        <v>60000</v>
      </c>
      <c r="M53" s="7">
        <f>L53-H53</f>
        <v>0.0</v>
      </c>
      <c r="N53" s="10" t="inlineStr">
        <is>
          <t>review</t>
        </is>
      </c>
      <c r="O53" s="8">
        <v>1.0</v>
      </c>
      <c r="P53" s="16" t="inlineStr">
        <is>
          <t>Ánh xạ chưa được xác nhận</t>
        </is>
      </c>
      <c r="Q53" s="16" t="inlineStr">
        <is>
          <t>CẦN SỬA</t>
        </is>
      </c>
      <c r="R53" s="4" t="inlineStr">
        <is>
          <t>1000033</t>
        </is>
      </c>
      <c r="S53" s="4" t="inlineStr">
        <is>
          <t/>
        </is>
      </c>
      <c r="T53" s="12" t="inlineStr">
        <is>
          <t>1000033 - Loacker Bánh Xốp Kem 45g (100.0) | 1000034 - Bánh xốp classic 45g (82.0) | 1000012 - HEO NƯỚNG (57.1)</t>
        </is>
      </c>
    </row>
    <row r="54">
      <c r="A54" s="5">
        <v>50</v>
      </c>
      <c r="B54" s="4" t="inlineStr">
        <is>
          <t>BIASAIGONSL</t>
        </is>
      </c>
      <c r="C54" s="4" t="inlineStr">
        <is>
          <t>Bia chai Saigon Special 330ml</t>
        </is>
      </c>
      <c r="D54" s="4" t="inlineStr">
        <is>
          <t>Két</t>
        </is>
      </c>
      <c r="E54" s="6">
        <v>3848.13</v>
      </c>
      <c r="F54" s="6">
        <v>24.0</v>
      </c>
      <c r="G54" s="5">
        <v>92355</v>
      </c>
      <c r="H54" s="7">
        <v>30000</v>
      </c>
      <c r="I54" s="4" t="inlineStr">
        <is>
          <t>1100018</t>
        </is>
      </c>
      <c r="J54" s="4" t="inlineStr">
        <is>
          <t>Bia chai Saigon Special 330ml</t>
        </is>
      </c>
      <c r="K54" s="4" t="inlineStr">
        <is>
          <t>chai</t>
        </is>
      </c>
      <c r="L54" s="7">
        <v>30000</v>
      </c>
      <c r="M54" s="7">
        <f>L54-H54</f>
        <v>0.0</v>
      </c>
      <c r="N54" s="9" t="inlineStr">
        <is>
          <t>confirmed</t>
        </is>
      </c>
      <c r="O54" s="8">
        <v>0.88</v>
      </c>
      <c r="P54" s="15" t="inlineStr">
        <is>
          <t>Đủ điều kiện</t>
        </is>
      </c>
      <c r="Q54" s="15" t="inlineStr">
        <is>
          <t>GIỮ NGUYÊN</t>
        </is>
      </c>
      <c r="R54" s="4" t="inlineStr">
        <is>
          <t>1100018</t>
        </is>
      </c>
      <c r="S54" s="4" t="inlineStr">
        <is>
          <t/>
        </is>
      </c>
      <c r="T54" s="12" t="inlineStr">
        <is>
          <t>1100018 - Bia chai Saigon Special 330ml (88.0) | 1100023 - Bia Hà Nội (48.3) | 1100026 - NƯỚC STC VQUẤT THTRUEJUICEMILK 300MLX24 (47.2)</t>
        </is>
      </c>
    </row>
    <row r="55">
      <c r="A55" s="5">
        <v>51</v>
      </c>
      <c r="B55" s="4" t="inlineStr">
        <is>
          <t>TC</t>
        </is>
      </c>
      <c r="C55" s="4" t="inlineStr">
        <is>
          <t>Hoa quả thập cẩm</t>
        </is>
      </c>
      <c r="D55" s="4" t="inlineStr">
        <is>
          <t/>
        </is>
      </c>
      <c r="E55" s="6">
        <v>0.0</v>
      </c>
      <c r="F55" s="6">
        <v>1.0</v>
      </c>
      <c r="G55" s="5">
        <v>0</v>
      </c>
      <c r="H55" s="7">
        <v>350000</v>
      </c>
      <c r="I55" s="4" t="inlineStr">
        <is>
          <t>1500006</t>
        </is>
      </c>
      <c r="J55" s="4" t="inlineStr">
        <is>
          <t>HOA QUẢ THẬP CẨM (Đĩa nhỏ)</t>
        </is>
      </c>
      <c r="K55" s="4" t="inlineStr">
        <is>
          <t>đĩa</t>
        </is>
      </c>
      <c r="L55" s="7">
        <v>350000</v>
      </c>
      <c r="M55" s="7">
        <f>L55-H55</f>
        <v>0.0</v>
      </c>
      <c r="N55" s="9" t="inlineStr">
        <is>
          <t>confirmed</t>
        </is>
      </c>
      <c r="O55" s="8">
        <v>0.809</v>
      </c>
      <c r="P55" s="16" t="inlineStr">
        <is>
          <t>Hết tồn khả dụng</t>
        </is>
      </c>
      <c r="Q55" s="16" t="inlineStr">
        <is>
          <t>CẦN SỬA</t>
        </is>
      </c>
      <c r="R55" s="4" t="inlineStr">
        <is>
          <t>1500006</t>
        </is>
      </c>
      <c r="S55" s="4" t="inlineStr">
        <is>
          <t>Ngoại lệ kế toán: tối đa một đĩa hoa quả thập cẩm (nhỏ hoặc to) trên mỗi hóa đơn.</t>
        </is>
      </c>
      <c r="T55" s="12" t="inlineStr">
        <is>
          <t>1500006 - HOA QUẢ THẬP CẨM (Đĩa nhỏ) (80.9) | 1500003 - HOA QUẢ CHÔM CHÔM (69.7) | 1500007 - HOA QUẢ THẬP CẨM (ĐĨA TO) (67.1)</t>
        </is>
      </c>
    </row>
    <row r="56">
      <c r="A56" s="5">
        <v>52</v>
      </c>
      <c r="B56" s="4" t="inlineStr">
        <is>
          <t>TCTO</t>
        </is>
      </c>
      <c r="C56" s="4" t="inlineStr">
        <is>
          <t>Hoa quả thập cẩm (to)</t>
        </is>
      </c>
      <c r="D56" s="4" t="inlineStr">
        <is>
          <t/>
        </is>
      </c>
      <c r="E56" s="6">
        <v>0.0</v>
      </c>
      <c r="F56" s="6">
        <v>1.0</v>
      </c>
      <c r="G56" s="5">
        <v>0</v>
      </c>
      <c r="H56" s="7">
        <v>450000</v>
      </c>
      <c r="I56" s="4" t="inlineStr">
        <is>
          <t>1500007</t>
        </is>
      </c>
      <c r="J56" s="4" t="inlineStr">
        <is>
          <t>HOA QUẢ THẬP CẨM (ĐĨA TO)</t>
        </is>
      </c>
      <c r="K56" s="4" t="inlineStr">
        <is>
          <t>đĩa</t>
        </is>
      </c>
      <c r="L56" s="7">
        <v>450000</v>
      </c>
      <c r="M56" s="7">
        <f>L56-H56</f>
        <v>0.0</v>
      </c>
      <c r="N56" s="9" t="inlineStr">
        <is>
          <t>confirmed</t>
        </is>
      </c>
      <c r="O56" s="8">
        <v>0.6709999999999999</v>
      </c>
      <c r="P56" s="16" t="inlineStr">
        <is>
          <t>Hết tồn khả dụng</t>
        </is>
      </c>
      <c r="Q56" s="16" t="inlineStr">
        <is>
          <t>CẦN SỬA</t>
        </is>
      </c>
      <c r="R56" s="4" t="inlineStr">
        <is>
          <t>1500007</t>
        </is>
      </c>
      <c r="S56" s="4" t="inlineStr">
        <is>
          <t>Ngoại lệ kế toán: tối đa một đĩa hoa quả thập cẩm (nhỏ hoặc to) trên mỗi hóa đơn.</t>
        </is>
      </c>
      <c r="T56" s="12" t="inlineStr">
        <is>
          <t>1500007 - HOA QUẢ THẬP CẨM (ĐĨA TO) (67.1) | 1500006 - HOA QUẢ THẬP CẨM (Đĩa nhỏ) (62.3) | 1500009 - Hoa quả thập cẩm (55.9)</t>
        </is>
      </c>
    </row>
    <row r="57">
      <c r="A57" s="5">
        <v>53</v>
      </c>
      <c r="B57" s="4" t="inlineStr">
        <is>
          <t>KHANV1020</t>
        </is>
      </c>
      <c r="C57" s="4" t="inlineStr">
        <is>
          <t>Khăn ướt in máy màng bạc V1020</t>
        </is>
      </c>
      <c r="D57" s="4" t="inlineStr">
        <is>
          <t>Cái</t>
        </is>
      </c>
      <c r="E57" s="6">
        <v>33703.0</v>
      </c>
      <c r="F57" s="6">
        <v>1.0</v>
      </c>
      <c r="G57" s="5">
        <v>33703</v>
      </c>
      <c r="H57" s="7">
        <v>5000</v>
      </c>
      <c r="I57" s="4" t="inlineStr">
        <is>
          <t>1000030</t>
        </is>
      </c>
      <c r="J57" s="4" t="inlineStr">
        <is>
          <t>Khăn ướt V1020</t>
        </is>
      </c>
      <c r="K57" s="4" t="inlineStr">
        <is>
          <t>Cái</t>
        </is>
      </c>
      <c r="L57" s="7">
        <v>5000</v>
      </c>
      <c r="M57" s="7">
        <f>L57-H57</f>
        <v>0.0</v>
      </c>
      <c r="N57" s="10" t="inlineStr">
        <is>
          <t>review</t>
        </is>
      </c>
      <c r="O57" s="8">
        <v>0.929</v>
      </c>
      <c r="P57" s="16" t="inlineStr">
        <is>
          <t>Ánh xạ chưa được xác nhận</t>
        </is>
      </c>
      <c r="Q57" s="16" t="inlineStr">
        <is>
          <t>CẦN SỬA</t>
        </is>
      </c>
      <c r="R57" s="4" t="inlineStr">
        <is>
          <t>1000030</t>
        </is>
      </c>
      <c r="S57" s="4" t="inlineStr">
        <is>
          <t/>
        </is>
      </c>
      <c r="T57" s="12" t="inlineStr">
        <is>
          <t>1000030 - Khăn ướt V1020 (92.9) | 1000031 - Khăn ướt (80.9) | 1000014 - KHĂN LẠNH (66.2)</t>
        </is>
      </c>
    </row>
  </sheetData>
  <autoFilter ref="A4:T57"/>
  <mergeCells count="2">
    <mergeCell ref="A1:T1"/>
    <mergeCell ref="A2:T2"/>
  </mergeCells>
  <dataValidations count="1">
    <dataValidation type="list" allowBlank="1" showErrorMessage="1" errorTitle="Giá trị không hợp lệ" error="Hãy chọn một giá trị trong danh sách." sqref="Q5:Q57">
      <formula1>"GIỮ NGUYÊN,CẦN SỬA,LOẠI KHỎI BÁN"</formula1>
    </dataValidation>
  </dataValidations>
  <pageMargins left="0.3" right="0.3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>
  <dimension ref="A1:K57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7" customWidth="1"/>
    <col min="2" max="2" width="20" customWidth="1"/>
    <col min="3" max="3" width="42" customWidth="1"/>
    <col min="4" max="4" width="12" customWidth="1"/>
    <col min="5" max="5" width="14" customWidth="1"/>
    <col min="6" max="6" width="12" customWidth="1"/>
    <col min="7" max="7" width="16" customWidth="1"/>
    <col min="8" max="8" width="18" customWidth="1"/>
    <col min="9" max="9" width="24" customWidth="1"/>
    <col min="10" max="10" width="16" customWidth="1"/>
    <col min="11" max="11" width="18" customWidth="1"/>
  </cols>
  <sheetData>
    <row r="1" ht="32" customHeight="1">
      <c r="A1" s="1" t="inlineStr">
        <is>
          <t>KHO CHUẨN HÓA</t>
        </is>
      </c>
      <c r="B1" s="0" t="inlineStr">
        <is>
          <t/>
        </is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inlineStr">
        <is>
          <t/>
        </is>
      </c>
      <c r="G1" s="0" t="inlineStr">
        <is>
          <t/>
        </is>
      </c>
      <c r="H1" s="0" t="inlineStr">
        <is>
          <t/>
        </is>
      </c>
      <c r="I1" s="0" t="inlineStr">
        <is>
          <t/>
        </is>
      </c>
      <c r="J1" s="0" t="inlineStr">
        <is>
          <t/>
        </is>
      </c>
      <c r="K1" s="0" t="inlineStr">
        <is>
          <t/>
        </is>
      </c>
    </row>
    <row r="2">
      <c r="A2" s="2" t="inlineStr">
        <is>
          <t>Tồn bán quy đổi là giới hạn tối đa dùng cho bài toán không âm kho.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</row>
    <row r="3">
      <c r="A3" s="0" t="inlineStr">
        <is>
          <t/>
        </is>
      </c>
      <c r="B3" s="0" t="inlineStr">
        <is>
          <t/>
        </is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  <c r="G3" s="0" t="inlineStr">
        <is>
          <t/>
        </is>
      </c>
      <c r="H3" s="0" t="inlineStr">
        <is>
          <t/>
        </is>
      </c>
      <c r="I3" s="0" t="inlineStr">
        <is>
          <t/>
        </is>
      </c>
      <c r="J3" s="0" t="inlineStr">
        <is>
          <t/>
        </is>
      </c>
      <c r="K3" s="0" t="inlineStr">
        <is>
          <t/>
        </is>
      </c>
    </row>
    <row r="4" ht="30" customHeight="1">
      <c r="A4" s="3" t="inlineStr">
        <is>
          <t>STT</t>
        </is>
      </c>
      <c r="B4" s="3" t="inlineStr">
        <is>
          <t>Mã kho</t>
        </is>
      </c>
      <c r="C4" s="3" t="inlineStr">
        <is>
          <t>Tên kho</t>
        </is>
      </c>
      <c r="D4" s="3" t="inlineStr">
        <is>
          <t>ĐVT</t>
        </is>
      </c>
      <c r="E4" s="3" t="inlineStr">
        <is>
          <t>Số lượng</t>
        </is>
      </c>
      <c r="F4" s="3" t="inlineStr">
        <is>
          <t>Quy đổi</t>
        </is>
      </c>
      <c r="G4" s="3" t="inlineStr">
        <is>
          <t>Tồn bán quy đổi</t>
        </is>
      </c>
      <c r="H4" s="3" t="inlineStr">
        <is>
          <t>Giá bán chốt</t>
        </is>
      </c>
      <c r="I4" s="3" t="inlineStr">
        <is>
          <t>Giá trị tồn theo giá bán</t>
        </is>
      </c>
      <c r="J4" s="3" t="inlineStr">
        <is>
          <t>Mã web hiện tại</t>
        </is>
      </c>
      <c r="K4" s="3" t="inlineStr">
        <is>
          <t>Trạng thái ánh xạ</t>
        </is>
      </c>
    </row>
    <row r="5">
      <c r="A5" s="5">
        <v>1</v>
      </c>
      <c r="B5" s="4" t="inlineStr">
        <is>
          <t>BANHSNACK</t>
        </is>
      </c>
      <c r="C5" s="4" t="inlineStr">
        <is>
          <t>Bánh snack bắp 40g Vfoods</t>
        </is>
      </c>
      <c r="D5" s="4" t="inlineStr">
        <is>
          <t>Gói</t>
        </is>
      </c>
      <c r="E5" s="6">
        <v>20.0</v>
      </c>
      <c r="F5" s="6">
        <v>1.0</v>
      </c>
      <c r="G5" s="5">
        <v>20</v>
      </c>
      <c r="H5" s="7">
        <v>30000</v>
      </c>
      <c r="I5" s="7">
        <f>G5*H5</f>
        <v>600000.0</v>
      </c>
      <c r="J5" s="4" t="inlineStr">
        <is>
          <t>1000047</t>
        </is>
      </c>
      <c r="K5" s="10" t="inlineStr">
        <is>
          <t>review</t>
        </is>
      </c>
    </row>
    <row r="6">
      <c r="A6" s="5">
        <v>2</v>
      </c>
      <c r="B6" s="4" t="inlineStr">
        <is>
          <t>TLTHANGLONGTH</t>
        </is>
      </c>
      <c r="C6" s="4" t="inlineStr">
        <is>
          <t>Thuốc lá điếu Thăng Long hộp thiếc</t>
        </is>
      </c>
      <c r="D6" s="4" t="inlineStr">
        <is>
          <t>Bao</t>
        </is>
      </c>
      <c r="E6" s="6">
        <v>20.0</v>
      </c>
      <c r="F6" s="6">
        <v>1.0</v>
      </c>
      <c r="G6" s="5">
        <v>20</v>
      </c>
      <c r="H6" s="7">
        <v>80000</v>
      </c>
      <c r="I6" s="7">
        <f>G6*H6</f>
        <v>1600000.0</v>
      </c>
      <c r="J6" s="4" t="inlineStr">
        <is>
          <t>1400007</t>
        </is>
      </c>
      <c r="K6" s="10" t="inlineStr">
        <is>
          <t>review</t>
        </is>
      </c>
    </row>
    <row r="7">
      <c r="A7" s="5">
        <v>3</v>
      </c>
      <c r="B7" s="4" t="inlineStr">
        <is>
          <t>changacay80g</t>
        </is>
      </c>
      <c r="C7" s="4" t="inlineStr">
        <is>
          <t>Chân gà cay 80g</t>
        </is>
      </c>
      <c r="D7" s="4" t="inlineStr">
        <is>
          <t>Gói</t>
        </is>
      </c>
      <c r="E7" s="6">
        <v>22.0</v>
      </c>
      <c r="F7" s="6">
        <v>1.0</v>
      </c>
      <c r="G7" s="5">
        <v>22</v>
      </c>
      <c r="H7" s="7">
        <v>55000</v>
      </c>
      <c r="I7" s="7">
        <f>G7*H7</f>
        <v>1210000.0</v>
      </c>
      <c r="J7" s="4" t="inlineStr">
        <is>
          <t>1000007</t>
        </is>
      </c>
      <c r="K7" s="9" t="inlineStr">
        <is>
          <t>confirmed</t>
        </is>
      </c>
    </row>
    <row r="8">
      <c r="A8" s="5">
        <v>4</v>
      </c>
      <c r="B8" s="4" t="inlineStr">
        <is>
          <t>DECUOI70</t>
        </is>
      </c>
      <c r="C8" s="4" t="inlineStr">
        <is>
          <t>Hạt dẻ cười 70 gram</t>
        </is>
      </c>
      <c r="D8" s="4" t="inlineStr">
        <is>
          <t>Gói</t>
        </is>
      </c>
      <c r="E8" s="6">
        <v>47.0</v>
      </c>
      <c r="F8" s="6">
        <v>1.0</v>
      </c>
      <c r="G8" s="5">
        <v>47</v>
      </c>
      <c r="H8" s="7">
        <v>65000</v>
      </c>
      <c r="I8" s="7">
        <f>G8*H8</f>
        <v>3055000.0</v>
      </c>
      <c r="J8" s="4" t="inlineStr">
        <is>
          <t>1000010</t>
        </is>
      </c>
      <c r="K8" s="10" t="inlineStr">
        <is>
          <t>review</t>
        </is>
      </c>
    </row>
    <row r="9">
      <c r="A9" s="5">
        <v>5</v>
      </c>
      <c r="B9" s="4" t="inlineStr">
        <is>
          <t>IONVIE500</t>
        </is>
      </c>
      <c r="C9" s="4" t="inlineStr">
        <is>
          <t>Nước uống ion kiềm IONVie, 500ml * 20 chai</t>
        </is>
      </c>
      <c r="D9" s="4" t="inlineStr">
        <is>
          <t>Thùng</t>
        </is>
      </c>
      <c r="E9" s="6">
        <v>48.95</v>
      </c>
      <c r="F9" s="6">
        <v>20.0</v>
      </c>
      <c r="G9" s="5">
        <v>979</v>
      </c>
      <c r="H9" s="7">
        <v>25000</v>
      </c>
      <c r="I9" s="7">
        <f>G9*H9</f>
        <v>24475000.0</v>
      </c>
      <c r="J9" s="4" t="inlineStr">
        <is>
          <t>1100029</t>
        </is>
      </c>
      <c r="K9" s="10" t="inlineStr">
        <is>
          <t>review</t>
        </is>
      </c>
    </row>
    <row r="10">
      <c r="A10" s="5">
        <v>6</v>
      </c>
      <c r="B10" s="4" t="inlineStr">
        <is>
          <t>XXPONNIE</t>
        </is>
      </c>
      <c r="C10" s="4" t="inlineStr">
        <is>
          <t>Xúc xích tiệt trùng Ponnie Thịt phô mai 4hộp x 12cây x 45gr</t>
        </is>
      </c>
      <c r="D10" s="4" t="inlineStr">
        <is>
          <t>Hộp</t>
        </is>
      </c>
      <c r="E10" s="6">
        <v>50.0</v>
      </c>
      <c r="F10" s="6">
        <v>12.0</v>
      </c>
      <c r="G10" s="5">
        <v>600</v>
      </c>
      <c r="H10" s="7">
        <v>15000</v>
      </c>
      <c r="I10" s="7">
        <f>G10*H10</f>
        <v>9000000.0</v>
      </c>
      <c r="J10" s="4" t="inlineStr">
        <is>
          <t>1000029</t>
        </is>
      </c>
      <c r="K10" s="9" t="inlineStr">
        <is>
          <t>confirmed</t>
        </is>
      </c>
    </row>
    <row r="11">
      <c r="A11" s="5">
        <v>7</v>
      </c>
      <c r="B11" s="4" t="inlineStr">
        <is>
          <t>tratac</t>
        </is>
      </c>
      <c r="C11" s="4" t="inlineStr">
        <is>
          <t>Trà tắc mật ong (Nhãn hiệu Cozy) (Tết 320ml)</t>
        </is>
      </c>
      <c r="D11" s="4" t="inlineStr">
        <is>
          <t>Lon</t>
        </is>
      </c>
      <c r="E11" s="6">
        <v>57.0</v>
      </c>
      <c r="F11" s="6">
        <v>1.0</v>
      </c>
      <c r="G11" s="5">
        <v>57</v>
      </c>
      <c r="H11" s="7">
        <v>40000</v>
      </c>
      <c r="I11" s="7">
        <f>G11*H11</f>
        <v>2280000.0</v>
      </c>
      <c r="J11" s="4" t="inlineStr">
        <is>
          <t>1100030</t>
        </is>
      </c>
      <c r="K11" s="10" t="inlineStr">
        <is>
          <t>review</t>
        </is>
      </c>
    </row>
    <row r="12">
      <c r="A12" s="5">
        <v>8</v>
      </c>
      <c r="B12" s="4" t="inlineStr">
        <is>
          <t>Hotdog Ponnie</t>
        </is>
      </c>
      <c r="C12" s="4" t="inlineStr">
        <is>
          <t>Hotdog Ponnie giòn ăn liền vị cay 4hộp x 20gói x 28gr</t>
        </is>
      </c>
      <c r="D12" s="4" t="inlineStr">
        <is>
          <t>Hộp</t>
        </is>
      </c>
      <c r="E12" s="6">
        <v>58.2</v>
      </c>
      <c r="F12" s="6">
        <v>20.0</v>
      </c>
      <c r="G12" s="5">
        <v>1164</v>
      </c>
      <c r="H12" s="7">
        <v>15000</v>
      </c>
      <c r="I12" s="7">
        <f>G12*H12</f>
        <v>17460000.0</v>
      </c>
      <c r="J12" s="4" t="inlineStr">
        <is>
          <t>1000053</t>
        </is>
      </c>
      <c r="K12" s="11" t="inlineStr">
        <is>
          <t>unmatched</t>
        </is>
      </c>
    </row>
    <row r="13">
      <c r="A13" s="5">
        <v>9</v>
      </c>
      <c r="B13" s="4" t="inlineStr">
        <is>
          <t>TraWanglaoji</t>
        </is>
      </c>
      <c r="C13" s="4" t="inlineStr">
        <is>
          <t>Trà thảo mộc Wanglaoji 310ml/lon, 24 lon/ thùng</t>
        </is>
      </c>
      <c r="D13" s="4" t="inlineStr">
        <is>
          <t>Thùng</t>
        </is>
      </c>
      <c r="E13" s="6">
        <v>62.17</v>
      </c>
      <c r="F13" s="6">
        <v>24.0</v>
      </c>
      <c r="G13" s="5">
        <v>1492</v>
      </c>
      <c r="H13" s="7">
        <v>25000</v>
      </c>
      <c r="I13" s="7">
        <f>G13*H13</f>
        <v>37300000.0</v>
      </c>
      <c r="J13" s="4" t="inlineStr">
        <is>
          <t>1100015</t>
        </is>
      </c>
      <c r="K13" s="9" t="inlineStr">
        <is>
          <t>confirmed</t>
        </is>
      </c>
    </row>
    <row r="14">
      <c r="A14" s="5">
        <v>10</v>
      </c>
      <c r="B14" s="4" t="inlineStr">
        <is>
          <t>LAVIE500TH</t>
        </is>
      </c>
      <c r="C14" s="4" t="inlineStr">
        <is>
          <t>Lavie 500ml</t>
        </is>
      </c>
      <c r="D14" s="4" t="inlineStr">
        <is>
          <t>Thùng</t>
        </is>
      </c>
      <c r="E14" s="6">
        <v>62.99</v>
      </c>
      <c r="F14" s="6">
        <v>24.0</v>
      </c>
      <c r="G14" s="5">
        <v>1511</v>
      </c>
      <c r="H14" s="7">
        <v>25000</v>
      </c>
      <c r="I14" s="7">
        <f>G14*H14</f>
        <v>37775000.0</v>
      </c>
      <c r="J14" s="4" t="inlineStr">
        <is>
          <t>1100029</t>
        </is>
      </c>
      <c r="K14" s="10" t="inlineStr">
        <is>
          <t>review</t>
        </is>
      </c>
    </row>
    <row r="15">
      <c r="A15" s="5">
        <v>11</v>
      </c>
      <c r="B15" s="4" t="inlineStr">
        <is>
          <t>IONVIE350</t>
        </is>
      </c>
      <c r="C15" s="4" t="inlineStr">
        <is>
          <t>Nước uống ion kiềm IONVie, 350ml * 24 chai</t>
        </is>
      </c>
      <c r="D15" s="4" t="inlineStr">
        <is>
          <t>Thùng</t>
        </is>
      </c>
      <c r="E15" s="6">
        <v>64.01</v>
      </c>
      <c r="F15" s="6">
        <v>24.0</v>
      </c>
      <c r="G15" s="5">
        <v>1536</v>
      </c>
      <c r="H15" s="7">
        <v>15000</v>
      </c>
      <c r="I15" s="7">
        <f>G15*H15</f>
        <v>23040000.0</v>
      </c>
      <c r="J15" s="4" t="inlineStr">
        <is>
          <t>1100028</t>
        </is>
      </c>
      <c r="K15" s="9" t="inlineStr">
        <is>
          <t>confirmed</t>
        </is>
      </c>
    </row>
    <row r="16">
      <c r="A16" s="5">
        <v>12</v>
      </c>
      <c r="B16" s="4" t="inlineStr">
        <is>
          <t>TLBM</t>
        </is>
      </c>
      <c r="C16" s="4" t="inlineStr">
        <is>
          <t>Thăng Long B.M</t>
        </is>
      </c>
      <c r="D16" s="4" t="inlineStr">
        <is>
          <t>Bao</t>
        </is>
      </c>
      <c r="E16" s="6">
        <v>66.0</v>
      </c>
      <c r="F16" s="6">
        <v>1.0</v>
      </c>
      <c r="G16" s="5">
        <v>66</v>
      </c>
      <c r="H16" s="7">
        <v>50000</v>
      </c>
      <c r="I16" s="7">
        <f>G16*H16</f>
        <v>3300000.0</v>
      </c>
      <c r="J16" s="4" t="inlineStr">
        <is>
          <t>1000019</t>
        </is>
      </c>
      <c r="K16" s="11" t="inlineStr">
        <is>
          <t>unmatched</t>
        </is>
      </c>
    </row>
    <row r="17">
      <c r="A17" s="5">
        <v>13</v>
      </c>
      <c r="B17" s="4" t="inlineStr">
        <is>
          <t>NUOCOFAN350</t>
        </is>
      </c>
      <c r="C17" s="4" t="inlineStr">
        <is>
          <t>Nước ION kiềm OFAN 350ml (Thùng 24 chai)</t>
        </is>
      </c>
      <c r="D17" s="4" t="inlineStr">
        <is>
          <t>Thùng</t>
        </is>
      </c>
      <c r="E17" s="6">
        <v>69.96</v>
      </c>
      <c r="F17" s="6">
        <v>24.0</v>
      </c>
      <c r="G17" s="5">
        <v>1679</v>
      </c>
      <c r="H17" s="7">
        <v>15000</v>
      </c>
      <c r="I17" s="7">
        <f>G17*H17</f>
        <v>25185000.0</v>
      </c>
      <c r="J17" s="4" t="inlineStr">
        <is>
          <t>1100027</t>
        </is>
      </c>
      <c r="K17" s="9" t="inlineStr">
        <is>
          <t>confirmed</t>
        </is>
      </c>
    </row>
    <row r="18">
      <c r="A18" s="5">
        <v>14</v>
      </c>
      <c r="B18" s="4" t="inlineStr">
        <is>
          <t>DECUOI60</t>
        </is>
      </c>
      <c r="C18" s="4" t="inlineStr">
        <is>
          <t>Hạt dẻ cười 60 gram</t>
        </is>
      </c>
      <c r="D18" s="4" t="inlineStr">
        <is>
          <t>Gói</t>
        </is>
      </c>
      <c r="E18" s="6">
        <v>74.0</v>
      </c>
      <c r="F18" s="6">
        <v>1.0</v>
      </c>
      <c r="G18" s="5">
        <v>74</v>
      </c>
      <c r="H18" s="7">
        <v>65000</v>
      </c>
      <c r="I18" s="7">
        <f>G18*H18</f>
        <v>4810000.0</v>
      </c>
      <c r="J18" s="4" t="inlineStr">
        <is>
          <t>1000010</t>
        </is>
      </c>
      <c r="K18" s="10" t="inlineStr">
        <is>
          <t>review</t>
        </is>
      </c>
    </row>
    <row r="19">
      <c r="A19" s="5">
        <v>15</v>
      </c>
      <c r="B19" s="4" t="inlineStr">
        <is>
          <t>xí muội</t>
        </is>
      </c>
      <c r="C19" s="4" t="inlineStr">
        <is>
          <t>Xí muội mận không hạt chua ngọt 65g</t>
        </is>
      </c>
      <c r="D19" s="4" t="inlineStr">
        <is>
          <t>Gói</t>
        </is>
      </c>
      <c r="E19" s="6">
        <v>75.0</v>
      </c>
      <c r="F19" s="6">
        <v>1.0</v>
      </c>
      <c r="G19" s="5">
        <v>75</v>
      </c>
      <c r="H19" s="7">
        <v>65000</v>
      </c>
      <c r="I19" s="7">
        <f>G19*H19</f>
        <v>4875000.0</v>
      </c>
      <c r="J19" s="4" t="inlineStr">
        <is>
          <t>1000045</t>
        </is>
      </c>
      <c r="K19" s="9" t="inlineStr">
        <is>
          <t>confirmed</t>
        </is>
      </c>
    </row>
    <row r="20">
      <c r="A20" s="5">
        <v>16</v>
      </c>
      <c r="B20" s="4" t="inlineStr">
        <is>
          <t>TLĐCCC</t>
        </is>
      </c>
      <c r="C20" s="4" t="inlineStr">
        <is>
          <t>Thuốc lá điếu đầu lọc Camel Compact Caster</t>
        </is>
      </c>
      <c r="D20" s="4" t="inlineStr">
        <is>
          <t>Gói</t>
        </is>
      </c>
      <c r="E20" s="6">
        <v>78.0</v>
      </c>
      <c r="F20" s="6">
        <v>1.0</v>
      </c>
      <c r="G20" s="5">
        <v>78</v>
      </c>
      <c r="H20" s="7">
        <v>60000</v>
      </c>
      <c r="I20" s="7">
        <f>G20*H20</f>
        <v>4680000.0</v>
      </c>
      <c r="J20" s="4" t="inlineStr">
        <is>
          <t>1400007</t>
        </is>
      </c>
      <c r="K20" s="10" t="inlineStr">
        <is>
          <t>review</t>
        </is>
      </c>
    </row>
    <row r="21">
      <c r="A21" s="5">
        <v>17</v>
      </c>
      <c r="B21" s="4" t="inlineStr">
        <is>
          <t>RUOUVANGDO</t>
        </is>
      </c>
      <c r="C21" s="4" t="inlineStr">
        <is>
          <t>Rượu vang đỏ Luccarelli Negroamaro 750ml</t>
        </is>
      </c>
      <c r="D21" s="4" t="inlineStr">
        <is>
          <t>Chai</t>
        </is>
      </c>
      <c r="E21" s="6">
        <v>84.0</v>
      </c>
      <c r="F21" s="6">
        <v>1.0</v>
      </c>
      <c r="G21" s="5">
        <v>84</v>
      </c>
      <c r="H21" s="7">
        <v>650000</v>
      </c>
      <c r="I21" s="7">
        <f>G21*H21</f>
        <v>54600000.0</v>
      </c>
      <c r="J21" s="4" t="inlineStr">
        <is>
          <t>1300013</t>
        </is>
      </c>
      <c r="K21" s="9" t="inlineStr">
        <is>
          <t>confirmed</t>
        </is>
      </c>
    </row>
    <row r="22">
      <c r="A22" s="5">
        <v>18</v>
      </c>
      <c r="B22" s="4" t="inlineStr">
        <is>
          <t>TL555SB</t>
        </is>
      </c>
      <c r="C22" s="4" t="inlineStr">
        <is>
          <t>Thuốc lá 555 Signature Blue</t>
        </is>
      </c>
      <c r="D22" s="4" t="inlineStr">
        <is>
          <t>Bao</t>
        </is>
      </c>
      <c r="E22" s="6">
        <v>87.0</v>
      </c>
      <c r="F22" s="6">
        <v>1.0</v>
      </c>
      <c r="G22" s="5">
        <v>87</v>
      </c>
      <c r="H22" s="7">
        <v>80000</v>
      </c>
      <c r="I22" s="7">
        <f>G22*H22</f>
        <v>6960000.0</v>
      </c>
      <c r="J22" s="4" t="inlineStr">
        <is>
          <t>1400007</t>
        </is>
      </c>
      <c r="K22" s="10" t="inlineStr">
        <is>
          <t>review</t>
        </is>
      </c>
    </row>
    <row r="23">
      <c r="A23" s="5">
        <v>19</v>
      </c>
      <c r="B23" s="4" t="inlineStr">
        <is>
          <t>TLDSLIM</t>
        </is>
      </c>
      <c r="C23" s="4" t="inlineStr">
        <is>
          <t>Thuốc lá điếu Thăng long Slim</t>
        </is>
      </c>
      <c r="D23" s="4" t="inlineStr">
        <is>
          <t>Bao</t>
        </is>
      </c>
      <c r="E23" s="6">
        <v>90.0</v>
      </c>
      <c r="F23" s="6">
        <v>1.0</v>
      </c>
      <c r="G23" s="5">
        <v>90</v>
      </c>
      <c r="H23" s="7">
        <v>50000</v>
      </c>
      <c r="I23" s="7">
        <f>G23*H23</f>
        <v>4500000.0</v>
      </c>
      <c r="J23" s="4" t="inlineStr">
        <is>
          <t>1400007</t>
        </is>
      </c>
      <c r="K23" s="10" t="inlineStr">
        <is>
          <t>review</t>
        </is>
      </c>
    </row>
    <row r="24">
      <c r="A24" s="5">
        <v>20</v>
      </c>
      <c r="B24" s="4" t="inlineStr">
        <is>
          <t>CHANGA28G</t>
        </is>
      </c>
      <c r="C24" s="4" t="inlineStr">
        <is>
          <t>Chân Gà Rút Xương 28g (Thùng = 240 gói)</t>
        </is>
      </c>
      <c r="D24" s="4" t="inlineStr">
        <is>
          <t>Gói</t>
        </is>
      </c>
      <c r="E24" s="6">
        <v>92.0</v>
      </c>
      <c r="F24" s="6">
        <v>1.0</v>
      </c>
      <c r="G24" s="5">
        <v>92</v>
      </c>
      <c r="H24" s="7">
        <v>20000</v>
      </c>
      <c r="I24" s="7">
        <f>G24*H24</f>
        <v>1840000.0</v>
      </c>
      <c r="J24" s="4" t="inlineStr">
        <is>
          <t>1000048</t>
        </is>
      </c>
      <c r="K24" s="9" t="inlineStr">
        <is>
          <t>confirmed</t>
        </is>
      </c>
    </row>
    <row r="25">
      <c r="A25" s="5">
        <v>21</v>
      </c>
      <c r="B25" s="4" t="inlineStr">
        <is>
          <t>TLBC</t>
        </is>
      </c>
      <c r="C25" s="4" t="inlineStr">
        <is>
          <t>Thăng Long B.C</t>
        </is>
      </c>
      <c r="D25" s="4" t="inlineStr">
        <is>
          <t>Bao</t>
        </is>
      </c>
      <c r="E25" s="6">
        <v>100.0</v>
      </c>
      <c r="F25" s="6">
        <v>1.0</v>
      </c>
      <c r="G25" s="5">
        <v>100</v>
      </c>
      <c r="H25" s="7">
        <v>50000</v>
      </c>
      <c r="I25" s="7">
        <f>G25*H25</f>
        <v>5000000.0</v>
      </c>
      <c r="J25" s="4" t="inlineStr">
        <is>
          <t>1000019</t>
        </is>
      </c>
      <c r="K25" s="11" t="inlineStr">
        <is>
          <t>unmatched</t>
        </is>
      </c>
    </row>
    <row r="26">
      <c r="A26" s="5">
        <v>22</v>
      </c>
      <c r="B26" s="4" t="inlineStr">
        <is>
          <t>TLSLIM</t>
        </is>
      </c>
      <c r="C26" s="4" t="inlineStr">
        <is>
          <t>Thăng long Slim bao cứng</t>
        </is>
      </c>
      <c r="D26" s="4" t="inlineStr">
        <is>
          <t>Bao</t>
        </is>
      </c>
      <c r="E26" s="6">
        <v>100.0</v>
      </c>
      <c r="F26" s="6">
        <v>1.0</v>
      </c>
      <c r="G26" s="5">
        <v>100</v>
      </c>
      <c r="H26" s="7">
        <v>50000</v>
      </c>
      <c r="I26" s="7">
        <f>G26*H26</f>
        <v>5000000.0</v>
      </c>
      <c r="J26" s="4" t="inlineStr">
        <is>
          <t>1400010</t>
        </is>
      </c>
      <c r="K26" s="11" t="inlineStr">
        <is>
          <t>unmatched</t>
        </is>
      </c>
    </row>
    <row r="27">
      <c r="A27" s="5">
        <v>23</v>
      </c>
      <c r="B27" s="4" t="inlineStr">
        <is>
          <t>QUYTRAXANH</t>
        </is>
      </c>
      <c r="C27" s="4" t="inlineStr">
        <is>
          <t>BÁNH QUY QUE VỊ TRÀ XANH 36G (CHOCO007)</t>
        </is>
      </c>
      <c r="D27" s="4" t="inlineStr">
        <is>
          <t>Hộp</t>
        </is>
      </c>
      <c r="E27" s="6">
        <v>108.0</v>
      </c>
      <c r="F27" s="6">
        <v>1.0</v>
      </c>
      <c r="G27" s="5">
        <v>108</v>
      </c>
      <c r="H27" s="7">
        <v>40000</v>
      </c>
      <c r="I27" s="7">
        <f>G27*H27</f>
        <v>4320000.0</v>
      </c>
      <c r="J27" s="4" t="inlineStr">
        <is>
          <t>1000025</t>
        </is>
      </c>
      <c r="K27" s="10" t="inlineStr">
        <is>
          <t>review</t>
        </is>
      </c>
    </row>
    <row r="28">
      <c r="A28" s="5">
        <v>24</v>
      </c>
      <c r="B28" s="4" t="inlineStr">
        <is>
          <t>QUYVIETQUAT</t>
        </is>
      </c>
      <c r="C28" s="4" t="inlineStr">
        <is>
          <t>BÁNH QUY QUE VỊ VIỆT QUẤT 36G (CHOCO008)</t>
        </is>
      </c>
      <c r="D28" s="4" t="inlineStr">
        <is>
          <t>Hộp</t>
        </is>
      </c>
      <c r="E28" s="6">
        <v>108.0</v>
      </c>
      <c r="F28" s="6">
        <v>1.0</v>
      </c>
      <c r="G28" s="5">
        <v>108</v>
      </c>
      <c r="H28" s="7">
        <v>40000</v>
      </c>
      <c r="I28" s="7">
        <f>G28*H28</f>
        <v>4320000.0</v>
      </c>
      <c r="J28" s="4" t="inlineStr">
        <is>
          <t>1000025</t>
        </is>
      </c>
      <c r="K28" s="10" t="inlineStr">
        <is>
          <t>review</t>
        </is>
      </c>
    </row>
    <row r="29">
      <c r="A29" s="5">
        <v>25</v>
      </c>
      <c r="B29" s="4" t="inlineStr">
        <is>
          <t>saubaotu</t>
        </is>
      </c>
      <c r="C29" s="4" t="inlineStr">
        <is>
          <t>Sấu bao tử 100gg</t>
        </is>
      </c>
      <c r="D29" s="4" t="inlineStr">
        <is>
          <t>Gói</t>
        </is>
      </c>
      <c r="E29" s="6">
        <v>108.0</v>
      </c>
      <c r="F29" s="6">
        <v>1.0</v>
      </c>
      <c r="G29" s="5">
        <v>108</v>
      </c>
      <c r="H29" s="7">
        <v>70000</v>
      </c>
      <c r="I29" s="7">
        <f>G29*H29</f>
        <v>7560000.0</v>
      </c>
      <c r="J29" s="4" t="inlineStr">
        <is>
          <t>1000054</t>
        </is>
      </c>
      <c r="K29" s="9" t="inlineStr">
        <is>
          <t>confirmed</t>
        </is>
      </c>
    </row>
    <row r="30">
      <c r="A30" s="5">
        <v>26</v>
      </c>
      <c r="B30" s="4" t="inlineStr">
        <is>
          <t>bkm</t>
        </is>
      </c>
      <c r="C30" s="4" t="inlineStr">
        <is>
          <t>Bò khô miếng 32g</t>
        </is>
      </c>
      <c r="D30" s="4" t="inlineStr">
        <is>
          <t>Gói</t>
        </is>
      </c>
      <c r="E30" s="6">
        <v>116.0</v>
      </c>
      <c r="F30" s="6">
        <v>1.0</v>
      </c>
      <c r="G30" s="5">
        <v>116</v>
      </c>
      <c r="H30" s="7">
        <v>65000</v>
      </c>
      <c r="I30" s="7">
        <f>G30*H30</f>
        <v>7540000.0</v>
      </c>
      <c r="J30" s="4" t="inlineStr">
        <is>
          <t>1000004</t>
        </is>
      </c>
      <c r="K30" s="10" t="inlineStr">
        <is>
          <t>review</t>
        </is>
      </c>
    </row>
    <row r="31">
      <c r="A31" s="5">
        <v>27</v>
      </c>
      <c r="B31" s="4" t="inlineStr">
        <is>
          <t>mohonglam</t>
        </is>
      </c>
      <c r="C31" s="4" t="inlineStr">
        <is>
          <t>Mơ Hồng Lam 5 60g</t>
        </is>
      </c>
      <c r="D31" s="4" t="inlineStr">
        <is>
          <t>Gói</t>
        </is>
      </c>
      <c r="E31" s="6">
        <v>140.0</v>
      </c>
      <c r="F31" s="6">
        <v>1.0</v>
      </c>
      <c r="G31" s="5">
        <v>140</v>
      </c>
      <c r="H31" s="7">
        <v>50000</v>
      </c>
      <c r="I31" s="7">
        <f>G31*H31</f>
        <v>7000000.0</v>
      </c>
      <c r="J31" s="4" t="inlineStr">
        <is>
          <t>1000044</t>
        </is>
      </c>
      <c r="K31" s="10" t="inlineStr">
        <is>
          <t>review</t>
        </is>
      </c>
    </row>
    <row r="32">
      <c r="A32" s="5">
        <v>28</v>
      </c>
      <c r="B32" s="4" t="inlineStr">
        <is>
          <t>YENSANESTTH</t>
        </is>
      </c>
      <c r="C32" s="4" t="inlineStr">
        <is>
          <t>Nước yến Sanest lon T x 190ml</t>
        </is>
      </c>
      <c r="D32" s="4" t="inlineStr">
        <is>
          <t>Thùng</t>
        </is>
      </c>
      <c r="E32" s="6">
        <v>140.38</v>
      </c>
      <c r="F32" s="6">
        <v>30.0</v>
      </c>
      <c r="G32" s="5">
        <v>4211</v>
      </c>
      <c r="H32" s="7">
        <v>30000</v>
      </c>
      <c r="I32" s="7">
        <f>G32*H32</f>
        <v>126330000.0</v>
      </c>
      <c r="J32" s="4" t="inlineStr">
        <is>
          <t>1100012</t>
        </is>
      </c>
      <c r="K32" s="10" t="inlineStr">
        <is>
          <t>review</t>
        </is>
      </c>
    </row>
    <row r="33">
      <c r="A33" s="5">
        <v>29</v>
      </c>
      <c r="B33" s="4" t="inlineStr">
        <is>
          <t>KHOAILANGSAY</t>
        </is>
      </c>
      <c r="C33" s="4" t="inlineStr">
        <is>
          <t>ONENUTS Khoai Lang Sấy Vị Mật ong 70g</t>
        </is>
      </c>
      <c r="D33" s="4" t="inlineStr">
        <is>
          <t>Hộp</t>
        </is>
      </c>
      <c r="E33" s="6">
        <v>142.0</v>
      </c>
      <c r="F33" s="6">
        <v>1.0</v>
      </c>
      <c r="G33" s="5">
        <v>142</v>
      </c>
      <c r="H33" s="7">
        <v>50000</v>
      </c>
      <c r="I33" s="7">
        <f>G33*H33</f>
        <v>7100000.0</v>
      </c>
      <c r="J33" s="4" t="inlineStr">
        <is>
          <t>1000042</t>
        </is>
      </c>
      <c r="K33" s="9" t="inlineStr">
        <is>
          <t>confirmed</t>
        </is>
      </c>
    </row>
    <row r="34">
      <c r="A34" s="5">
        <v>30</v>
      </c>
      <c r="B34" s="4" t="inlineStr">
        <is>
          <t>CAMELBT</t>
        </is>
      </c>
      <c r="C34" s="4" t="inlineStr">
        <is>
          <t>Thuốc lá điếu đầu lọc Camel Caster Black Tea</t>
        </is>
      </c>
      <c r="D34" s="4" t="inlineStr">
        <is>
          <t>Bao</t>
        </is>
      </c>
      <c r="E34" s="6">
        <v>179.0</v>
      </c>
      <c r="F34" s="6">
        <v>1.0</v>
      </c>
      <c r="G34" s="5">
        <v>179</v>
      </c>
      <c r="H34" s="7">
        <v>80000</v>
      </c>
      <c r="I34" s="7">
        <f>G34*H34</f>
        <v>14320000.0</v>
      </c>
      <c r="J34" s="4" t="inlineStr">
        <is>
          <t>1400007</t>
        </is>
      </c>
      <c r="K34" s="10" t="inlineStr">
        <is>
          <t>review</t>
        </is>
      </c>
    </row>
    <row r="35">
      <c r="A35" s="5">
        <v>31</v>
      </c>
      <c r="B35" s="4" t="inlineStr">
        <is>
          <t>Hạt macadamia</t>
        </is>
      </c>
      <c r="C35" s="4" t="inlineStr">
        <is>
          <t>Hạt macadamia chưa tách vỏ, đã qua chế biến ( DO TQSX)</t>
        </is>
      </c>
      <c r="D35" s="4" t="inlineStr">
        <is>
          <t>kg</t>
        </is>
      </c>
      <c r="E35" s="6">
        <v>182.19</v>
      </c>
      <c r="F35" s="6">
        <v>1.0</v>
      </c>
      <c r="G35" s="5">
        <v>182</v>
      </c>
      <c r="H35" s="7">
        <v>65000</v>
      </c>
      <c r="I35" s="7">
        <f>G35*H35</f>
        <v>11830000.0</v>
      </c>
      <c r="J35" s="4" t="inlineStr">
        <is>
          <t>1000010</t>
        </is>
      </c>
      <c r="K35" s="11" t="inlineStr">
        <is>
          <t>unmatched</t>
        </is>
      </c>
    </row>
    <row r="36">
      <c r="A36" s="5">
        <v>32</v>
      </c>
      <c r="B36" s="4" t="inlineStr">
        <is>
          <t>HATDECUOIRM</t>
        </is>
      </c>
      <c r="C36" s="4" t="inlineStr">
        <is>
          <t>Hạt dẻ cười rang muối</t>
        </is>
      </c>
      <c r="D36" s="4" t="inlineStr">
        <is>
          <t>Gói</t>
        </is>
      </c>
      <c r="E36" s="6">
        <v>198.0</v>
      </c>
      <c r="F36" s="6">
        <v>1.0</v>
      </c>
      <c r="G36" s="5">
        <v>198</v>
      </c>
      <c r="H36" s="7">
        <v>40000</v>
      </c>
      <c r="I36" s="7">
        <f>G36*H36</f>
        <v>7920000.0</v>
      </c>
      <c r="J36" s="4" t="inlineStr">
        <is>
          <t>1000010</t>
        </is>
      </c>
      <c r="K36" s="10" t="inlineStr">
        <is>
          <t>review</t>
        </is>
      </c>
    </row>
    <row r="37">
      <c r="A37" s="5">
        <v>33</v>
      </c>
      <c r="B37" s="4" t="inlineStr">
        <is>
          <t>DOSIDAHEO</t>
        </is>
      </c>
      <c r="C37" s="4" t="inlineStr">
        <is>
          <t>DOSI Da Heo Cháy Tỏi Vị Thịt Nướng BBQ Hàn Quốc 30g</t>
        </is>
      </c>
      <c r="D37" s="4" t="inlineStr">
        <is>
          <t>Gói</t>
        </is>
      </c>
      <c r="E37" s="6">
        <v>219.0</v>
      </c>
      <c r="F37" s="6">
        <v>1.0</v>
      </c>
      <c r="G37" s="5">
        <v>219</v>
      </c>
      <c r="H37" s="7">
        <v>40000</v>
      </c>
      <c r="I37" s="7">
        <f>G37*H37</f>
        <v>8760000.0</v>
      </c>
      <c r="J37" s="4" t="inlineStr">
        <is>
          <t>1000039</t>
        </is>
      </c>
      <c r="K37" s="9" t="inlineStr">
        <is>
          <t>confirmed</t>
        </is>
      </c>
    </row>
    <row r="38">
      <c r="A38" s="5">
        <v>34</v>
      </c>
      <c r="B38" s="4" t="inlineStr">
        <is>
          <t>BIM2PM</t>
        </is>
      </c>
      <c r="C38" s="4" t="inlineStr">
        <is>
          <t>Lay's Wavy vi Pho Mai Cheddar 28g 16x10</t>
        </is>
      </c>
      <c r="D38" s="4" t="inlineStr">
        <is>
          <t>Gói</t>
        </is>
      </c>
      <c r="E38" s="6">
        <v>250.0</v>
      </c>
      <c r="F38" s="6">
        <v>1.0</v>
      </c>
      <c r="G38" s="5">
        <v>250</v>
      </c>
      <c r="H38" s="7">
        <v>15000</v>
      </c>
      <c r="I38" s="7">
        <f>G38*H38</f>
        <v>3750000.0</v>
      </c>
      <c r="J38" s="4" t="inlineStr">
        <is>
          <t>1000053</t>
        </is>
      </c>
      <c r="K38" s="9" t="inlineStr">
        <is>
          <t>confirmed</t>
        </is>
      </c>
    </row>
    <row r="39">
      <c r="A39" s="5">
        <v>35</v>
      </c>
      <c r="B39" s="4" t="inlineStr">
        <is>
          <t>BIM2VIMUOI</t>
        </is>
      </c>
      <c r="C39" s="4" t="inlineStr">
        <is>
          <t>Lay's Wavy vi muoi nguyen ban 30G 16X10</t>
        </is>
      </c>
      <c r="D39" s="4" t="inlineStr">
        <is>
          <t>Gói</t>
        </is>
      </c>
      <c r="E39" s="6">
        <v>250.0</v>
      </c>
      <c r="F39" s="6">
        <v>1.0</v>
      </c>
      <c r="G39" s="5">
        <v>250</v>
      </c>
      <c r="H39" s="7">
        <v>15000</v>
      </c>
      <c r="I39" s="7">
        <f>G39*H39</f>
        <v>3750000.0</v>
      </c>
      <c r="J39" s="4" t="inlineStr">
        <is>
          <t>1000052</t>
        </is>
      </c>
      <c r="K39" s="9" t="inlineStr">
        <is>
          <t>confirmed</t>
        </is>
      </c>
    </row>
    <row r="40">
      <c r="A40" s="5">
        <v>36</v>
      </c>
      <c r="B40" s="4" t="inlineStr">
        <is>
          <t>NUOCYEN3VI</t>
        </is>
      </c>
      <c r="C40" s="4" t="inlineStr">
        <is>
          <t>Nước yến 3 vị</t>
        </is>
      </c>
      <c r="D40" s="4" t="inlineStr">
        <is>
          <t>hũ</t>
        </is>
      </c>
      <c r="E40" s="6">
        <v>263.0</v>
      </c>
      <c r="F40" s="6">
        <v>1.0</v>
      </c>
      <c r="G40" s="5">
        <v>263</v>
      </c>
      <c r="H40" s="7">
        <v>75000</v>
      </c>
      <c r="I40" s="7">
        <f>G40*H40</f>
        <v>19725000.0</v>
      </c>
      <c r="J40" s="4" t="inlineStr">
        <is>
          <t>1100011</t>
        </is>
      </c>
      <c r="K40" s="10" t="inlineStr">
        <is>
          <t>review</t>
        </is>
      </c>
    </row>
    <row r="41">
      <c r="A41" s="5">
        <v>37</v>
      </c>
      <c r="B41" s="4" t="inlineStr">
        <is>
          <t>TRUNGALACO</t>
        </is>
      </c>
      <c r="C41" s="4" t="inlineStr">
        <is>
          <t>Trứng cút vị muối nướng Alaco 45g</t>
        </is>
      </c>
      <c r="D41" s="4" t="inlineStr">
        <is>
          <t>Gói</t>
        </is>
      </c>
      <c r="E41" s="6">
        <v>290.0</v>
      </c>
      <c r="F41" s="6">
        <v>1.0</v>
      </c>
      <c r="G41" s="5">
        <v>290</v>
      </c>
      <c r="H41" s="7">
        <v>35000</v>
      </c>
      <c r="I41" s="7">
        <f>G41*H41</f>
        <v>10150000.0</v>
      </c>
      <c r="J41" s="4" t="inlineStr">
        <is>
          <t>1000058</t>
        </is>
      </c>
      <c r="K41" s="9" t="inlineStr">
        <is>
          <t>confirmed</t>
        </is>
      </c>
    </row>
    <row r="42">
      <c r="A42" s="5">
        <v>38</v>
      </c>
      <c r="B42" s="4" t="inlineStr">
        <is>
          <t>BANHYAN2coc</t>
        </is>
      </c>
      <c r="C42" s="4" t="inlineStr">
        <is>
          <t>Bánh Yan Yan 44gr, 50gr</t>
        </is>
      </c>
      <c r="D42" s="4" t="inlineStr">
        <is>
          <t>cốc</t>
        </is>
      </c>
      <c r="E42" s="6">
        <v>314.0</v>
      </c>
      <c r="F42" s="6">
        <v>1.0</v>
      </c>
      <c r="G42" s="5">
        <v>314</v>
      </c>
      <c r="H42" s="7">
        <v>30000</v>
      </c>
      <c r="I42" s="7">
        <f>G42*H42</f>
        <v>9420000.0</v>
      </c>
      <c r="J42" s="4" t="inlineStr">
        <is>
          <t>1100012</t>
        </is>
      </c>
      <c r="K42" s="11" t="inlineStr">
        <is>
          <t>unmatched</t>
        </is>
      </c>
    </row>
    <row r="43">
      <c r="A43" s="5">
        <v>39</v>
      </c>
      <c r="B43" s="4" t="inlineStr">
        <is>
          <t>Bia crystal250</t>
        </is>
      </c>
      <c r="C43" s="4" t="inlineStr">
        <is>
          <t>Bia Tiger Crystal 250x24 SLK Ctn 13</t>
        </is>
      </c>
      <c r="D43" s="4" t="inlineStr">
        <is>
          <t>Thùng</t>
        </is>
      </c>
      <c r="E43" s="6">
        <v>318.77</v>
      </c>
      <c r="F43" s="6">
        <v>24.0</v>
      </c>
      <c r="G43" s="5">
        <v>7650</v>
      </c>
      <c r="H43" s="7">
        <v>45000</v>
      </c>
      <c r="I43" s="7">
        <f>G43*H43</f>
        <v>344250000.0</v>
      </c>
      <c r="J43" s="4" t="inlineStr">
        <is>
          <t>1100019</t>
        </is>
      </c>
      <c r="K43" s="9" t="inlineStr">
        <is>
          <t>confirmed</t>
        </is>
      </c>
    </row>
    <row r="44">
      <c r="A44" s="5">
        <v>40</v>
      </c>
      <c r="B44" s="4" t="inlineStr">
        <is>
          <t>LAVIE350TH</t>
        </is>
      </c>
      <c r="C44" s="4" t="inlineStr">
        <is>
          <t>Lavie 350ml</t>
        </is>
      </c>
      <c r="D44" s="4" t="inlineStr">
        <is>
          <t>Thùng</t>
        </is>
      </c>
      <c r="E44" s="6">
        <v>320.0</v>
      </c>
      <c r="F44" s="6">
        <v>24.0</v>
      </c>
      <c r="G44" s="5">
        <v>7680</v>
      </c>
      <c r="H44" s="7">
        <v>15000</v>
      </c>
      <c r="I44" s="7">
        <f>G44*H44</f>
        <v>115200000.0</v>
      </c>
      <c r="J44" s="4" t="inlineStr">
        <is>
          <t>1100017</t>
        </is>
      </c>
      <c r="K44" s="9" t="inlineStr">
        <is>
          <t>confirmed</t>
        </is>
      </c>
    </row>
    <row r="45">
      <c r="A45" s="5">
        <v>41</v>
      </c>
      <c r="B45" s="4" t="inlineStr">
        <is>
          <t>BANHPEANUT45G</t>
        </is>
      </c>
      <c r="C45" s="4" t="inlineStr">
        <is>
          <t>Bánh xốp Loacker ClassicPeanut Butter 45g</t>
        </is>
      </c>
      <c r="D45" s="4" t="inlineStr">
        <is>
          <t>Thanh</t>
        </is>
      </c>
      <c r="E45" s="6">
        <v>321.0</v>
      </c>
      <c r="F45" s="6">
        <v>1.0</v>
      </c>
      <c r="G45" s="5">
        <v>321</v>
      </c>
      <c r="H45" s="7">
        <v>60000</v>
      </c>
      <c r="I45" s="7">
        <f>G45*H45</f>
        <v>19260000.0</v>
      </c>
      <c r="J45" s="4" t="inlineStr">
        <is>
          <t>1000033</t>
        </is>
      </c>
      <c r="K45" s="10" t="inlineStr">
        <is>
          <t>review</t>
        </is>
      </c>
    </row>
    <row r="46">
      <c r="A46" s="5">
        <v>42</v>
      </c>
      <c r="B46" s="4" t="inlineStr">
        <is>
          <t>TLĐTL</t>
        </is>
      </c>
      <c r="C46" s="4" t="inlineStr">
        <is>
          <t>Thuốc lá điếu Thăng Long</t>
        </is>
      </c>
      <c r="D46" s="4" t="inlineStr">
        <is>
          <t>Bao</t>
        </is>
      </c>
      <c r="E46" s="6">
        <v>475.0</v>
      </c>
      <c r="F46" s="6">
        <v>1.0</v>
      </c>
      <c r="G46" s="5">
        <v>475</v>
      </c>
      <c r="H46" s="7">
        <v>50000</v>
      </c>
      <c r="I46" s="7">
        <f>G46*H46</f>
        <v>23750000.0</v>
      </c>
      <c r="J46" s="4" t="inlineStr">
        <is>
          <t>1400007</t>
        </is>
      </c>
      <c r="K46" s="10" t="inlineStr">
        <is>
          <t>review</t>
        </is>
      </c>
    </row>
    <row r="47">
      <c r="A47" s="5">
        <v>43</v>
      </c>
      <c r="B47" s="4" t="inlineStr">
        <is>
          <t>DOSIQUAY</t>
        </is>
      </c>
      <c r="C47" s="4" t="inlineStr">
        <is>
          <t>DOSI Snack Quẩy Xoắn Vị Chua Cay 80g</t>
        </is>
      </c>
      <c r="D47" s="4" t="inlineStr">
        <is>
          <t>Gói</t>
        </is>
      </c>
      <c r="E47" s="6">
        <v>489.0</v>
      </c>
      <c r="F47" s="6">
        <v>1.0</v>
      </c>
      <c r="G47" s="5">
        <v>489</v>
      </c>
      <c r="H47" s="7">
        <v>30000</v>
      </c>
      <c r="I47" s="7">
        <f>G47*H47</f>
        <v>14670000.0</v>
      </c>
      <c r="J47" s="4" t="inlineStr">
        <is>
          <t>1000040</t>
        </is>
      </c>
      <c r="K47" s="9" t="inlineStr">
        <is>
          <t>confirmed</t>
        </is>
      </c>
    </row>
    <row r="48">
      <c r="A48" s="5">
        <v>44</v>
      </c>
      <c r="B48" s="4" t="inlineStr">
        <is>
          <t>BANH XOP</t>
        </is>
      </c>
      <c r="C48" s="4" t="inlineStr">
        <is>
          <t>Bánh xốp classic 45g</t>
        </is>
      </c>
      <c r="D48" s="4" t="inlineStr">
        <is>
          <t>Gói</t>
        </is>
      </c>
      <c r="E48" s="6">
        <v>776.0</v>
      </c>
      <c r="F48" s="6">
        <v>1.0</v>
      </c>
      <c r="G48" s="5">
        <v>776</v>
      </c>
      <c r="H48" s="7">
        <v>60000</v>
      </c>
      <c r="I48" s="7">
        <f>G48*H48</f>
        <v>46560000.0</v>
      </c>
      <c r="J48" s="4" t="inlineStr">
        <is>
          <t>1000034</t>
        </is>
      </c>
      <c r="K48" s="9" t="inlineStr">
        <is>
          <t>confirmed</t>
        </is>
      </c>
    </row>
    <row r="49">
      <c r="A49" s="5">
        <v>45</v>
      </c>
      <c r="B49" s="4" t="inlineStr">
        <is>
          <t>bomiengto60g</t>
        </is>
      </c>
      <c r="C49" s="4" t="inlineStr">
        <is>
          <t>Bò miếng to 60g</t>
        </is>
      </c>
      <c r="D49" s="4" t="inlineStr">
        <is>
          <t>Thùng</t>
        </is>
      </c>
      <c r="E49" s="6">
        <v>1104.38</v>
      </c>
      <c r="F49" s="6">
        <v>1.0</v>
      </c>
      <c r="G49" s="5">
        <v>1104</v>
      </c>
      <c r="H49" s="7">
        <v>90000</v>
      </c>
      <c r="I49" s="7">
        <f>G49*H49</f>
        <v>99360000.0</v>
      </c>
      <c r="J49" s="4" t="inlineStr">
        <is>
          <t>1000043</t>
        </is>
      </c>
      <c r="K49" s="9" t="inlineStr">
        <is>
          <t>confirmed</t>
        </is>
      </c>
    </row>
    <row r="50">
      <c r="A50" s="5">
        <v>46</v>
      </c>
      <c r="B50" s="4" t="inlineStr">
        <is>
          <t>YENMIXVI</t>
        </is>
      </c>
      <c r="C50" s="4" t="inlineStr">
        <is>
          <t>Yến chưng mix vị</t>
        </is>
      </c>
      <c r="D50" s="4" t="inlineStr">
        <is>
          <t>hũ</t>
        </is>
      </c>
      <c r="E50" s="6">
        <v>1164.0</v>
      </c>
      <c r="F50" s="6">
        <v>1.0</v>
      </c>
      <c r="G50" s="5">
        <v>1164</v>
      </c>
      <c r="H50" s="7">
        <v>90000</v>
      </c>
      <c r="I50" s="7">
        <f>G50*H50</f>
        <v>104760000.0</v>
      </c>
      <c r="J50" s="4" t="inlineStr">
        <is>
          <t>1100021</t>
        </is>
      </c>
      <c r="K50" s="9" t="inlineStr">
        <is>
          <t>confirmed</t>
        </is>
      </c>
    </row>
    <row r="51">
      <c r="A51" s="5">
        <v>47</v>
      </c>
      <c r="B51" s="4" t="inlineStr">
        <is>
          <t>DOSITOPMO</t>
        </is>
      </c>
      <c r="C51" s="4" t="inlineStr">
        <is>
          <t>DOSI Tóp mỡ cuộn cháy tỏi 30g</t>
        </is>
      </c>
      <c r="D51" s="4" t="inlineStr">
        <is>
          <t>Thùng</t>
        </is>
      </c>
      <c r="E51" s="6">
        <v>1670.07</v>
      </c>
      <c r="F51" s="6">
        <v>1.0</v>
      </c>
      <c r="G51" s="5">
        <v>1670</v>
      </c>
      <c r="H51" s="7">
        <v>50000</v>
      </c>
      <c r="I51" s="7">
        <f>G51*H51</f>
        <v>83500000.0</v>
      </c>
      <c r="J51" s="4" t="inlineStr">
        <is>
          <t>1000041</t>
        </is>
      </c>
      <c r="K51" s="9" t="inlineStr">
        <is>
          <t>confirmed</t>
        </is>
      </c>
    </row>
    <row r="52">
      <c r="A52" s="5">
        <v>48</v>
      </c>
      <c r="B52" s="4" t="inlineStr">
        <is>
          <t>SWEAT350</t>
        </is>
      </c>
      <c r="C52" s="4" t="inlineStr">
        <is>
          <t>Thức uống bổ sung ION POCARI SWEAT chai 350ML</t>
        </is>
      </c>
      <c r="D52" s="4" t="inlineStr">
        <is>
          <t>Chai</t>
        </is>
      </c>
      <c r="E52" s="6">
        <v>1909.0</v>
      </c>
      <c r="F52" s="6">
        <v>1.0</v>
      </c>
      <c r="G52" s="5">
        <v>1909</v>
      </c>
      <c r="H52" s="7">
        <v>30000</v>
      </c>
      <c r="I52" s="7">
        <f>G52*H52</f>
        <v>57270000.0</v>
      </c>
      <c r="J52" s="4" t="inlineStr">
        <is>
          <t>1100025</t>
        </is>
      </c>
      <c r="K52" s="9" t="inlineStr">
        <is>
          <t>confirmed</t>
        </is>
      </c>
    </row>
    <row r="53">
      <c r="A53" s="5">
        <v>49</v>
      </c>
      <c r="B53" s="4" t="inlineStr">
        <is>
          <t>BANHXOPKEM</t>
        </is>
      </c>
      <c r="C53" s="4" t="inlineStr">
        <is>
          <t>Loacker Bánh Xốp Kem 45g</t>
        </is>
      </c>
      <c r="D53" s="4" t="inlineStr">
        <is>
          <t>Gói</t>
        </is>
      </c>
      <c r="E53" s="6">
        <v>3739.0</v>
      </c>
      <c r="F53" s="6">
        <v>1.0</v>
      </c>
      <c r="G53" s="5">
        <v>3739</v>
      </c>
      <c r="H53" s="7">
        <v>60000</v>
      </c>
      <c r="I53" s="7">
        <f>G53*H53</f>
        <v>224340000.0</v>
      </c>
      <c r="J53" s="4" t="inlineStr">
        <is>
          <t>1000033</t>
        </is>
      </c>
      <c r="K53" s="10" t="inlineStr">
        <is>
          <t>review</t>
        </is>
      </c>
    </row>
    <row r="54">
      <c r="A54" s="5">
        <v>50</v>
      </c>
      <c r="B54" s="4" t="inlineStr">
        <is>
          <t>BIASAIGONSL</t>
        </is>
      </c>
      <c r="C54" s="4" t="inlineStr">
        <is>
          <t>Bia chai Saigon Special 330ml</t>
        </is>
      </c>
      <c r="D54" s="4" t="inlineStr">
        <is>
          <t>Két</t>
        </is>
      </c>
      <c r="E54" s="6">
        <v>3848.13</v>
      </c>
      <c r="F54" s="6">
        <v>24.0</v>
      </c>
      <c r="G54" s="5">
        <v>92355</v>
      </c>
      <c r="H54" s="7">
        <v>30000</v>
      </c>
      <c r="I54" s="7">
        <f>G54*H54</f>
        <v>2770650000.0</v>
      </c>
      <c r="J54" s="4" t="inlineStr">
        <is>
          <t>1100018</t>
        </is>
      </c>
      <c r="K54" s="9" t="inlineStr">
        <is>
          <t>confirmed</t>
        </is>
      </c>
    </row>
    <row r="55">
      <c r="A55" s="5">
        <v>51</v>
      </c>
      <c r="B55" s="4" t="inlineStr">
        <is>
          <t>TC</t>
        </is>
      </c>
      <c r="C55" s="4" t="inlineStr">
        <is>
          <t>Hoa quả thập cẩm</t>
        </is>
      </c>
      <c r="D55" s="4" t="inlineStr">
        <is>
          <t/>
        </is>
      </c>
      <c r="E55" s="6">
        <v>0.0</v>
      </c>
      <c r="F55" s="6">
        <v>1.0</v>
      </c>
      <c r="G55" s="5">
        <v>0</v>
      </c>
      <c r="H55" s="7">
        <v>350000</v>
      </c>
      <c r="I55" s="7">
        <f>G55*H55</f>
        <v>0.0</v>
      </c>
      <c r="J55" s="4" t="inlineStr">
        <is>
          <t>1500006</t>
        </is>
      </c>
      <c r="K55" s="9" t="inlineStr">
        <is>
          <t>confirmed</t>
        </is>
      </c>
    </row>
    <row r="56">
      <c r="A56" s="5">
        <v>52</v>
      </c>
      <c r="B56" s="4" t="inlineStr">
        <is>
          <t>TCTO</t>
        </is>
      </c>
      <c r="C56" s="4" t="inlineStr">
        <is>
          <t>Hoa quả thập cẩm (to)</t>
        </is>
      </c>
      <c r="D56" s="4" t="inlineStr">
        <is>
          <t/>
        </is>
      </c>
      <c r="E56" s="6">
        <v>0.0</v>
      </c>
      <c r="F56" s="6">
        <v>1.0</v>
      </c>
      <c r="G56" s="5">
        <v>0</v>
      </c>
      <c r="H56" s="7">
        <v>450000</v>
      </c>
      <c r="I56" s="7">
        <f>G56*H56</f>
        <v>0.0</v>
      </c>
      <c r="J56" s="4" t="inlineStr">
        <is>
          <t>1500007</t>
        </is>
      </c>
      <c r="K56" s="9" t="inlineStr">
        <is>
          <t>confirmed</t>
        </is>
      </c>
    </row>
    <row r="57">
      <c r="A57" s="5">
        <v>53</v>
      </c>
      <c r="B57" s="4" t="inlineStr">
        <is>
          <t>KHANV1020</t>
        </is>
      </c>
      <c r="C57" s="4" t="inlineStr">
        <is>
          <t>Khăn ướt in máy màng bạc V1020</t>
        </is>
      </c>
      <c r="D57" s="4" t="inlineStr">
        <is>
          <t>Cái</t>
        </is>
      </c>
      <c r="E57" s="6">
        <v>33703.0</v>
      </c>
      <c r="F57" s="6">
        <v>1.0</v>
      </c>
      <c r="G57" s="5">
        <v>33703</v>
      </c>
      <c r="H57" s="7">
        <v>5000</v>
      </c>
      <c r="I57" s="7">
        <f>G57*H57</f>
        <v>168515000.0</v>
      </c>
      <c r="J57" s="4" t="inlineStr">
        <is>
          <t>1000030</t>
        </is>
      </c>
      <c r="K57" s="10" t="inlineStr">
        <is>
          <t>review</t>
        </is>
      </c>
    </row>
  </sheetData>
  <autoFilter ref="A4:K57"/>
  <mergeCells count="2">
    <mergeCell ref="A1:K1"/>
    <mergeCell ref="A2:K2"/>
  </mergeCells>
  <pageMargins left="0.3" right="0.3" top="0.5" bottom="0.5" header="0.2" footer="0.2"/>
  <pageSetup orientation="landscape" fitToWidth="1" fitToHeight="0"/>
</worksheet>
</file>

<file path=xl/worksheets/sheet4.xml><?xml version="1.0" encoding="utf-8"?>
<worksheet xmlns="http://schemas.openxmlformats.org/spreadsheetml/2006/main">
  <dimension ref="A1:H147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7" customWidth="1"/>
    <col min="2" max="2" width="15" customWidth="1"/>
    <col min="3" max="3" width="48" customWidth="1"/>
    <col min="4" max="4" width="13" customWidth="1"/>
    <col min="5" max="5" width="17" customWidth="1"/>
    <col min="6" max="6" width="28" customWidth="1"/>
    <col min="7" max="7" width="24" customWidth="1"/>
    <col min="8" max="8" width="22" customWidth="1"/>
  </cols>
  <sheetData>
    <row r="1" ht="32" customHeight="1">
      <c r="A1" s="1" t="inlineStr">
        <is>
          <t>DANH MỤC WEB CHUẨN HÓA</t>
        </is>
      </c>
      <c r="B1" s="0" t="inlineStr">
        <is>
          <t/>
        </is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inlineStr">
        <is>
          <t/>
        </is>
      </c>
      <c r="G1" s="0" t="inlineStr">
        <is>
          <t/>
        </is>
      </c>
      <c r="H1" s="0" t="inlineStr">
        <is>
          <t/>
        </is>
      </c>
    </row>
    <row r="2">
      <c r="A2" s="2" t="inlineStr">
        <is>
          <t>Danh mục web chỉ cung cấp định danh, tên, đơn vị và giá; không quyết định tồn bán.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</row>
    <row r="3">
      <c r="A3" s="0" t="inlineStr">
        <is>
          <t/>
        </is>
      </c>
      <c r="B3" s="0" t="inlineStr">
        <is>
          <t/>
        </is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  <c r="G3" s="0" t="inlineStr">
        <is>
          <t/>
        </is>
      </c>
      <c r="H3" s="0" t="inlineStr">
        <is>
          <t/>
        </is>
      </c>
    </row>
    <row r="4" ht="30" customHeight="1">
      <c r="A4" s="3" t="inlineStr">
        <is>
          <t>STT</t>
        </is>
      </c>
      <c r="B4" s="3" t="inlineStr">
        <is>
          <t>Mã web</t>
        </is>
      </c>
      <c r="C4" s="3" t="inlineStr">
        <is>
          <t>Tên hàng web</t>
        </is>
      </c>
      <c r="D4" s="3" t="inlineStr">
        <is>
          <t>ĐVT web</t>
        </is>
      </c>
      <c r="E4" s="3" t="inlineStr">
        <is>
          <t>Giá web</t>
        </is>
      </c>
      <c r="F4" s="3" t="inlineStr">
        <is>
          <t>Loại</t>
        </is>
      </c>
      <c r="G4" s="3" t="inlineStr">
        <is>
          <t>Nhóm</t>
        </is>
      </c>
      <c r="H4" s="3" t="inlineStr">
        <is>
          <t>Số dòng kho đang ánh xạ</t>
        </is>
      </c>
    </row>
    <row r="5">
      <c r="A5" s="5">
        <v>1</v>
      </c>
      <c r="B5" s="4" t="inlineStr">
        <is>
          <t>1000001</t>
        </is>
      </c>
      <c r="C5" s="4" t="inlineStr">
        <is>
          <t>BANH QUE</t>
        </is>
      </c>
      <c r="D5" s="4" t="inlineStr">
        <is>
          <t>gói</t>
        </is>
      </c>
      <c r="E5" s="7">
        <v>40000</v>
      </c>
      <c r="F5" s="4" t="inlineStr">
        <is>
          <t>Mặt hàng kiêm vật tư</t>
        </is>
      </c>
      <c r="G5" s="4" t="inlineStr">
        <is>
          <t>DOKHO</t>
        </is>
      </c>
      <c r="H5" s="5">
        <f>COUNTIF('Anh_xa_Kho_Web'!$I$5:$I$57,B5)</f>
        <v>0</v>
      </c>
    </row>
    <row r="6">
      <c r="A6" s="5">
        <v>2</v>
      </c>
      <c r="B6" s="4" t="inlineStr">
        <is>
          <t>1000002</t>
        </is>
      </c>
      <c r="C6" s="4" t="inlineStr">
        <is>
          <t>BÁNH SINH NHẬT</t>
        </is>
      </c>
      <c r="D6" s="4" t="inlineStr">
        <is>
          <t>Cái</t>
        </is>
      </c>
      <c r="E6" s="7">
        <v>350000</v>
      </c>
      <c r="F6" s="4" t="inlineStr">
        <is>
          <t>Mặt hàng kiêm vật tư</t>
        </is>
      </c>
      <c r="G6" s="4" t="inlineStr">
        <is>
          <t>DOKHO</t>
        </is>
      </c>
      <c r="H6" s="5">
        <f>COUNTIF('Anh_xa_Kho_Web'!$I$5:$I$57,B6)</f>
        <v>0</v>
      </c>
    </row>
    <row r="7">
      <c r="A7" s="5">
        <v>3</v>
      </c>
      <c r="B7" s="4" t="inlineStr">
        <is>
          <t>1000003</t>
        </is>
      </c>
      <c r="C7" s="4" t="inlineStr">
        <is>
          <t>BÁNH TRÁNG</t>
        </is>
      </c>
      <c r="D7" s="4" t="inlineStr">
        <is>
          <t>gói</t>
        </is>
      </c>
      <c r="E7" s="7">
        <v>45000</v>
      </c>
      <c r="F7" s="4" t="inlineStr">
        <is>
          <t>Mặt hàng kiêm vật tư</t>
        </is>
      </c>
      <c r="G7" s="4" t="inlineStr">
        <is>
          <t>DOKHO</t>
        </is>
      </c>
      <c r="H7" s="5">
        <f>COUNTIF('Anh_xa_Kho_Web'!$I$5:$I$57,B7)</f>
        <v>0</v>
      </c>
    </row>
    <row r="8">
      <c r="A8" s="5">
        <v>4</v>
      </c>
      <c r="B8" s="4" t="inlineStr">
        <is>
          <t>1000004</t>
        </is>
      </c>
      <c r="C8" s="4" t="inlineStr">
        <is>
          <t>BÒ KHÔ MIẾNG</t>
        </is>
      </c>
      <c r="D8" s="4" t="inlineStr">
        <is>
          <t>gói</t>
        </is>
      </c>
      <c r="E8" s="7">
        <v>90000</v>
      </c>
      <c r="F8" s="4" t="inlineStr">
        <is>
          <t>Mặt hàng kiêm vật tư</t>
        </is>
      </c>
      <c r="G8" s="4" t="inlineStr">
        <is>
          <t>DOKHO</t>
        </is>
      </c>
      <c r="H8" s="5">
        <f>COUNTIF('Anh_xa_Kho_Web'!$I$5:$I$57,B8)</f>
        <v>1</v>
      </c>
    </row>
    <row r="9">
      <c r="A9" s="5">
        <v>5</v>
      </c>
      <c r="B9" s="4" t="inlineStr">
        <is>
          <t>1000005</t>
        </is>
      </c>
      <c r="C9" s="4" t="inlineStr">
        <is>
          <t>CÂU TRUNG QUÔC</t>
        </is>
      </c>
      <c r="D9" s="4" t="inlineStr">
        <is>
          <t>gói</t>
        </is>
      </c>
      <c r="E9" s="7">
        <v>450000</v>
      </c>
      <c r="F9" s="4" t="inlineStr">
        <is>
          <t>Mặt hàng kiêm vật tư</t>
        </is>
      </c>
      <c r="G9" s="4" t="inlineStr">
        <is>
          <t>DOKHO</t>
        </is>
      </c>
      <c r="H9" s="5">
        <f>COUNTIF('Anh_xa_Kho_Web'!$I$5:$I$57,B9)</f>
        <v>0</v>
      </c>
    </row>
    <row r="10">
      <c r="A10" s="5">
        <v>6</v>
      </c>
      <c r="B10" s="4" t="inlineStr">
        <is>
          <t>1000006</t>
        </is>
      </c>
      <c r="C10" s="4" t="inlineStr">
        <is>
          <t>CHÂN - CÁNH VỊT</t>
        </is>
      </c>
      <c r="D10" s="4" t="inlineStr">
        <is>
          <t>Cái</t>
        </is>
      </c>
      <c r="E10" s="7">
        <v>30000</v>
      </c>
      <c r="F10" s="4" t="inlineStr">
        <is>
          <t>Mặt hàng kiêm vật tư</t>
        </is>
      </c>
      <c r="G10" s="4" t="inlineStr">
        <is>
          <t>DOKHO</t>
        </is>
      </c>
      <c r="H10" s="5">
        <f>COUNTIF('Anh_xa_Kho_Web'!$I$5:$I$57,B10)</f>
        <v>0</v>
      </c>
    </row>
    <row r="11">
      <c r="A11" s="5">
        <v>7</v>
      </c>
      <c r="B11" s="4" t="inlineStr">
        <is>
          <t>1000007</t>
        </is>
      </c>
      <c r="C11" s="4" t="inlineStr">
        <is>
          <t>CHÂN GÀ - CAY</t>
        </is>
      </c>
      <c r="D11" s="4" t="inlineStr">
        <is>
          <t>gói</t>
        </is>
      </c>
      <c r="E11" s="7">
        <v>55000</v>
      </c>
      <c r="F11" s="4" t="inlineStr">
        <is>
          <t>Mặt hàng kiêm vật tư</t>
        </is>
      </c>
      <c r="G11" s="4" t="inlineStr">
        <is>
          <t>DOKHO</t>
        </is>
      </c>
      <c r="H11" s="5">
        <f>COUNTIF('Anh_xa_Kho_Web'!$I$5:$I$57,B11)</f>
        <v>1</v>
      </c>
    </row>
    <row r="12">
      <c r="A12" s="5">
        <v>8</v>
      </c>
      <c r="B12" s="4" t="inlineStr">
        <is>
          <t>1000008</t>
        </is>
      </c>
      <c r="C12" s="4" t="inlineStr">
        <is>
          <t>DA HEO</t>
        </is>
      </c>
      <c r="D12" s="4" t="inlineStr">
        <is>
          <t>gói</t>
        </is>
      </c>
      <c r="E12" s="7">
        <v>50000</v>
      </c>
      <c r="F12" s="4" t="inlineStr">
        <is>
          <t>Mặt hàng kiêm vật tư</t>
        </is>
      </c>
      <c r="G12" s="4" t="inlineStr">
        <is>
          <t>DOKHO</t>
        </is>
      </c>
      <c r="H12" s="5">
        <f>COUNTIF('Anh_xa_Kho_Web'!$I$5:$I$57,B12)</f>
        <v>0</v>
      </c>
    </row>
    <row r="13">
      <c r="A13" s="5">
        <v>9</v>
      </c>
      <c r="B13" s="4" t="inlineStr">
        <is>
          <t>1000009</t>
        </is>
      </c>
      <c r="C13" s="4" t="inlineStr">
        <is>
          <t>ĐẬU PHỘNG</t>
        </is>
      </c>
      <c r="D13" s="4" t="inlineStr">
        <is>
          <t>gói</t>
        </is>
      </c>
      <c r="E13" s="7">
        <v>30000</v>
      </c>
      <c r="F13" s="4" t="inlineStr">
        <is>
          <t>Mặt hàng kiêm vật tư</t>
        </is>
      </c>
      <c r="G13" s="4" t="inlineStr">
        <is>
          <t>DOKHO</t>
        </is>
      </c>
      <c r="H13" s="5">
        <f>COUNTIF('Anh_xa_Kho_Web'!$I$5:$I$57,B13)</f>
        <v>0</v>
      </c>
    </row>
    <row r="14">
      <c r="A14" s="5">
        <v>10</v>
      </c>
      <c r="B14" s="4" t="inlineStr">
        <is>
          <t>1000010</t>
        </is>
      </c>
      <c r="C14" s="4" t="inlineStr">
        <is>
          <t>HẠT DẺ</t>
        </is>
      </c>
      <c r="D14" s="4" t="inlineStr">
        <is>
          <t>gói</t>
        </is>
      </c>
      <c r="E14" s="7">
        <v>65000</v>
      </c>
      <c r="F14" s="4" t="inlineStr">
        <is>
          <t>Mặt hàng kiêm vật tư</t>
        </is>
      </c>
      <c r="G14" s="4" t="inlineStr">
        <is>
          <t>DOKHO</t>
        </is>
      </c>
      <c r="H14" s="5">
        <f>COUNTIF('Anh_xa_Kho_Web'!$I$5:$I$57,B14)</f>
        <v>4</v>
      </c>
    </row>
    <row r="15">
      <c r="A15" s="5">
        <v>11</v>
      </c>
      <c r="B15" s="4" t="inlineStr">
        <is>
          <t>1000011</t>
        </is>
      </c>
      <c r="C15" s="4" t="inlineStr">
        <is>
          <t>HẠT ĐIỀU</t>
        </is>
      </c>
      <c r="D15" s="4" t="inlineStr">
        <is>
          <t>gói</t>
        </is>
      </c>
      <c r="E15" s="7">
        <v>65000</v>
      </c>
      <c r="F15" s="4" t="inlineStr">
        <is>
          <t>Mặt hàng kiêm vật tư</t>
        </is>
      </c>
      <c r="G15" s="4" t="inlineStr">
        <is>
          <t>DOKHO</t>
        </is>
      </c>
      <c r="H15" s="5">
        <f>COUNTIF('Anh_xa_Kho_Web'!$I$5:$I$57,B15)</f>
        <v>0</v>
      </c>
    </row>
    <row r="16">
      <c r="A16" s="5">
        <v>12</v>
      </c>
      <c r="B16" s="4" t="inlineStr">
        <is>
          <t>1000012</t>
        </is>
      </c>
      <c r="C16" s="4" t="inlineStr">
        <is>
          <t>HEO NƯỚNG</t>
        </is>
      </c>
      <c r="D16" s="4" t="inlineStr">
        <is>
          <t>gói</t>
        </is>
      </c>
      <c r="E16" s="7">
        <v>60000</v>
      </c>
      <c r="F16" s="4" t="inlineStr">
        <is>
          <t>Mặt hàng kiêm vật tư</t>
        </is>
      </c>
      <c r="G16" s="4" t="inlineStr">
        <is>
          <t>DOKHO</t>
        </is>
      </c>
      <c r="H16" s="5">
        <f>COUNTIF('Anh_xa_Kho_Web'!$I$5:$I$57,B16)</f>
        <v>0</v>
      </c>
    </row>
    <row r="17">
      <c r="A17" s="5">
        <v>13</v>
      </c>
      <c r="B17" s="4" t="inlineStr">
        <is>
          <t>1000013</t>
        </is>
      </c>
      <c r="C17" s="4" t="inlineStr">
        <is>
          <t>HOA QUẢ SẤY</t>
        </is>
      </c>
      <c r="D17" s="4" t="inlineStr">
        <is>
          <t>gói</t>
        </is>
      </c>
      <c r="E17" s="7">
        <v>60000</v>
      </c>
      <c r="F17" s="4" t="inlineStr">
        <is>
          <t>Mặt hàng kiêm vật tư</t>
        </is>
      </c>
      <c r="G17" s="4" t="inlineStr">
        <is>
          <t>DOKHO</t>
        </is>
      </c>
      <c r="H17" s="5">
        <f>COUNTIF('Anh_xa_Kho_Web'!$I$5:$I$57,B17)</f>
        <v>0</v>
      </c>
    </row>
    <row r="18">
      <c r="A18" s="5">
        <v>14</v>
      </c>
      <c r="B18" s="4" t="inlineStr">
        <is>
          <t>1000014</t>
        </is>
      </c>
      <c r="C18" s="4" t="inlineStr">
        <is>
          <t>KHĂN LẠNH</t>
        </is>
      </c>
      <c r="D18" s="4" t="inlineStr">
        <is>
          <t>Cái</t>
        </is>
      </c>
      <c r="E18" s="7">
        <v>5000</v>
      </c>
      <c r="F18" s="4" t="inlineStr">
        <is>
          <t>Mặt hàng kiêm vật tư</t>
        </is>
      </c>
      <c r="G18" s="4" t="inlineStr">
        <is>
          <t>DOKHO</t>
        </is>
      </c>
      <c r="H18" s="5">
        <f>COUNTIF('Anh_xa_Kho_Web'!$I$5:$I$57,B18)</f>
        <v>0</v>
      </c>
    </row>
    <row r="19">
      <c r="A19" s="5">
        <v>15</v>
      </c>
      <c r="B19" s="4" t="inlineStr">
        <is>
          <t>1000015</t>
        </is>
      </c>
      <c r="C19" s="4" t="inlineStr">
        <is>
          <t>KHÔ GÀ</t>
        </is>
      </c>
      <c r="D19" s="4" t="inlineStr">
        <is>
          <t>gói</t>
        </is>
      </c>
      <c r="E19" s="7">
        <v>50000</v>
      </c>
      <c r="F19" s="4" t="inlineStr">
        <is>
          <t>Mặt hàng kiêm vật tư</t>
        </is>
      </c>
      <c r="G19" s="4" t="inlineStr">
        <is>
          <t>DOKHO</t>
        </is>
      </c>
      <c r="H19" s="5">
        <f>COUNTIF('Anh_xa_Kho_Web'!$I$5:$I$57,B19)</f>
        <v>0</v>
      </c>
    </row>
    <row r="20">
      <c r="A20" s="5">
        <v>16</v>
      </c>
      <c r="B20" s="4" t="inlineStr">
        <is>
          <t>1000016</t>
        </is>
      </c>
      <c r="C20" s="4" t="inlineStr">
        <is>
          <t>KHOAI TÂY HỘP</t>
        </is>
      </c>
      <c r="D20" s="4" t="inlineStr">
        <is>
          <t>hộp</t>
        </is>
      </c>
      <c r="E20" s="7">
        <v>60000</v>
      </c>
      <c r="F20" s="4" t="inlineStr">
        <is>
          <t>Mặt hàng kiêm vật tư</t>
        </is>
      </c>
      <c r="G20" s="4" t="inlineStr">
        <is>
          <t>DOKHO</t>
        </is>
      </c>
      <c r="H20" s="5">
        <f>COUNTIF('Anh_xa_Kho_Web'!$I$5:$I$57,B20)</f>
        <v>0</v>
      </c>
    </row>
    <row r="21">
      <c r="A21" s="5">
        <v>17</v>
      </c>
      <c r="B21" s="4" t="inlineStr">
        <is>
          <t>1000017</t>
        </is>
      </c>
      <c r="C21" s="4" t="inlineStr">
        <is>
          <t>Ô MAI HỒNG LAM</t>
        </is>
      </c>
      <c r="D21" s="4" t="inlineStr">
        <is>
          <t>gói</t>
        </is>
      </c>
      <c r="E21" s="7">
        <v>70000</v>
      </c>
      <c r="F21" s="4" t="inlineStr">
        <is>
          <t>Mặt hàng kiêm vật tư</t>
        </is>
      </c>
      <c r="G21" s="4" t="inlineStr">
        <is>
          <t>DOKHO</t>
        </is>
      </c>
      <c r="H21" s="5">
        <f>COUNTIF('Anh_xa_Kho_Web'!$I$5:$I$57,B21)</f>
        <v>0</v>
      </c>
    </row>
    <row r="22">
      <c r="A22" s="5">
        <v>18</v>
      </c>
      <c r="B22" s="4" t="inlineStr">
        <is>
          <t>1000018</t>
        </is>
      </c>
      <c r="C22" s="4" t="inlineStr">
        <is>
          <t>QUẨY HÀN</t>
        </is>
      </c>
      <c r="D22" s="4" t="inlineStr">
        <is>
          <t>gói</t>
        </is>
      </c>
      <c r="E22" s="7">
        <v>70000</v>
      </c>
      <c r="F22" s="4" t="inlineStr">
        <is>
          <t>Mặt hàng kiêm vật tư</t>
        </is>
      </c>
      <c r="G22" s="4" t="inlineStr">
        <is>
          <t>DOKHO</t>
        </is>
      </c>
      <c r="H22" s="5">
        <f>COUNTIF('Anh_xa_Kho_Web'!$I$5:$I$57,B22)</f>
        <v>0</v>
      </c>
    </row>
    <row r="23">
      <c r="A23" s="5">
        <v>19</v>
      </c>
      <c r="B23" s="4" t="inlineStr">
        <is>
          <t>1000019</t>
        </is>
      </c>
      <c r="C23" s="4" t="inlineStr">
        <is>
          <t>RONG BIỂN 1</t>
        </is>
      </c>
      <c r="D23" s="4" t="inlineStr">
        <is>
          <t>gói</t>
        </is>
      </c>
      <c r="E23" s="7">
        <v>50000</v>
      </c>
      <c r="F23" s="4" t="inlineStr">
        <is>
          <t>Mặt hàng kiêm vật tư</t>
        </is>
      </c>
      <c r="G23" s="4" t="inlineStr">
        <is>
          <t>DOKHO</t>
        </is>
      </c>
      <c r="H23" s="5">
        <f>COUNTIF('Anh_xa_Kho_Web'!$I$5:$I$57,B23)</f>
        <v>2</v>
      </c>
    </row>
    <row r="24">
      <c r="A24" s="5">
        <v>20</v>
      </c>
      <c r="B24" s="4" t="inlineStr">
        <is>
          <t>1000020</t>
        </is>
      </c>
      <c r="C24" s="4" t="inlineStr">
        <is>
          <t>TÓP MỠ HEO</t>
        </is>
      </c>
      <c r="D24" s="4" t="inlineStr">
        <is>
          <t>gói</t>
        </is>
      </c>
      <c r="E24" s="7">
        <v>60000</v>
      </c>
      <c r="F24" s="4" t="inlineStr">
        <is>
          <t>Mặt hàng kiêm vật tư</t>
        </is>
      </c>
      <c r="G24" s="4" t="inlineStr">
        <is>
          <t>DOKHO</t>
        </is>
      </c>
      <c r="H24" s="5">
        <f>COUNTIF('Anh_xa_Kho_Web'!$I$5:$I$57,B24)</f>
        <v>0</v>
      </c>
    </row>
    <row r="25">
      <c r="A25" s="5">
        <v>21</v>
      </c>
      <c r="B25" s="4" t="inlineStr">
        <is>
          <t>1000021</t>
        </is>
      </c>
      <c r="C25" s="4" t="inlineStr">
        <is>
          <t>TRÂU GÁC BẾP</t>
        </is>
      </c>
      <c r="D25" s="4" t="inlineStr">
        <is>
          <t>đĩa</t>
        </is>
      </c>
      <c r="E25" s="7">
        <v>200000</v>
      </c>
      <c r="F25" s="4" t="inlineStr">
        <is>
          <t>Mặt hàng kiêm vật tư</t>
        </is>
      </c>
      <c r="G25" s="4" t="inlineStr">
        <is>
          <t>DOKHO</t>
        </is>
      </c>
      <c r="H25" s="5">
        <f>COUNTIF('Anh_xa_Kho_Web'!$I$5:$I$57,B25)</f>
        <v>0</v>
      </c>
    </row>
    <row r="26">
      <c r="A26" s="5">
        <v>22</v>
      </c>
      <c r="B26" s="4" t="inlineStr">
        <is>
          <t>1000022</t>
        </is>
      </c>
      <c r="C26" s="4" t="inlineStr">
        <is>
          <t>Bánh khoai tây chiên 60g</t>
        </is>
      </c>
      <c r="D26" s="4" t="inlineStr">
        <is>
          <t>Lon</t>
        </is>
      </c>
      <c r="E26" s="7">
        <v>60000</v>
      </c>
      <c r="F26" s="4" t="inlineStr">
        <is>
          <t>Mặt hàng kiêm vật tư</t>
        </is>
      </c>
      <c r="G26" s="4" t="inlineStr">
        <is>
          <t>DOKHO</t>
        </is>
      </c>
      <c r="H26" s="5">
        <f>COUNTIF('Anh_xa_Kho_Web'!$I$5:$I$57,B26)</f>
        <v>0</v>
      </c>
    </row>
    <row r="27">
      <c r="A27" s="5">
        <v>23</v>
      </c>
      <c r="B27" s="4" t="inlineStr">
        <is>
          <t>1000023</t>
        </is>
      </c>
      <c r="C27" s="4" t="inlineStr">
        <is>
          <t>Bim bim khoai tây Lay's</t>
        </is>
      </c>
      <c r="D27" s="4" t="inlineStr">
        <is>
          <t>gói</t>
        </is>
      </c>
      <c r="E27" s="7">
        <v>15000</v>
      </c>
      <c r="F27" s="4" t="inlineStr">
        <is>
          <t>Mặt hàng kiêm vật tư</t>
        </is>
      </c>
      <c r="G27" s="4" t="inlineStr">
        <is>
          <t>DOKHO</t>
        </is>
      </c>
      <c r="H27" s="5">
        <f>COUNTIF('Anh_xa_Kho_Web'!$I$5:$I$57,B27)</f>
        <v>0</v>
      </c>
    </row>
    <row r="28">
      <c r="A28" s="5">
        <v>24</v>
      </c>
      <c r="B28" s="4" t="inlineStr">
        <is>
          <t>1000025</t>
        </is>
      </c>
      <c r="C28" s="4" t="inlineStr">
        <is>
          <t>Bánh quy que</t>
        </is>
      </c>
      <c r="D28" s="4" t="inlineStr">
        <is>
          <t>hộp</t>
        </is>
      </c>
      <c r="E28" s="7">
        <v>40000</v>
      </c>
      <c r="F28" s="4" t="inlineStr">
        <is>
          <t>Mặt hàng kiêm vật tư</t>
        </is>
      </c>
      <c r="G28" s="4" t="inlineStr">
        <is>
          <t>DOKHO</t>
        </is>
      </c>
      <c r="H28" s="5">
        <f>COUNTIF('Anh_xa_Kho_Web'!$I$5:$I$57,B28)</f>
        <v>2</v>
      </c>
    </row>
    <row r="29">
      <c r="A29" s="5">
        <v>25</v>
      </c>
      <c r="B29" s="4" t="inlineStr">
        <is>
          <t>1000026</t>
        </is>
      </c>
      <c r="C29" s="4" t="inlineStr">
        <is>
          <t>Chips Ghẹ Sữa - Vị Bơ Mật Ong 50g</t>
        </is>
      </c>
      <c r="D29" s="4" t="inlineStr">
        <is>
          <t>Túi</t>
        </is>
      </c>
      <c r="E29" s="7">
        <v>70000</v>
      </c>
      <c r="F29" s="4" t="inlineStr">
        <is>
          <t>Mặt hàng kiêm vật tư</t>
        </is>
      </c>
      <c r="G29" s="4" t="inlineStr">
        <is>
          <t>DOKHO</t>
        </is>
      </c>
      <c r="H29" s="5">
        <f>COUNTIF('Anh_xa_Kho_Web'!$I$5:$I$57,B29)</f>
        <v>0</v>
      </c>
    </row>
    <row r="30">
      <c r="A30" s="5">
        <v>26</v>
      </c>
      <c r="B30" s="4" t="inlineStr">
        <is>
          <t>1000027</t>
        </is>
      </c>
      <c r="C30" s="4" t="inlineStr">
        <is>
          <t>Chips Tôm - Vị Bơ Mật Ong 50g</t>
        </is>
      </c>
      <c r="D30" s="4" t="inlineStr">
        <is>
          <t>Túi</t>
        </is>
      </c>
      <c r="E30" s="7">
        <v>70000</v>
      </c>
      <c r="F30" s="4" t="inlineStr">
        <is>
          <t>Mặt hàng kiêm vật tư</t>
        </is>
      </c>
      <c r="G30" s="4" t="inlineStr">
        <is>
          <t>DOKHO</t>
        </is>
      </c>
      <c r="H30" s="5">
        <f>COUNTIF('Anh_xa_Kho_Web'!$I$5:$I$57,B30)</f>
        <v>0</v>
      </c>
    </row>
    <row r="31">
      <c r="A31" s="5">
        <v>27</v>
      </c>
      <c r="B31" s="4" t="inlineStr">
        <is>
          <t>1000028</t>
        </is>
      </c>
      <c r="C31" s="4" t="inlineStr">
        <is>
          <t>Snack Pillows</t>
        </is>
      </c>
      <c r="D31" s="4" t="inlineStr">
        <is>
          <t>gói</t>
        </is>
      </c>
      <c r="E31" s="7">
        <v>20000</v>
      </c>
      <c r="F31" s="4" t="inlineStr">
        <is>
          <t>Mặt hàng kiêm vật tư</t>
        </is>
      </c>
      <c r="G31" s="4" t="inlineStr">
        <is>
          <t>DOKHO</t>
        </is>
      </c>
      <c r="H31" s="5">
        <f>COUNTIF('Anh_xa_Kho_Web'!$I$5:$I$57,B31)</f>
        <v>0</v>
      </c>
    </row>
    <row r="32">
      <c r="A32" s="5">
        <v>28</v>
      </c>
      <c r="B32" s="4" t="inlineStr">
        <is>
          <t>1000029</t>
        </is>
      </c>
      <c r="C32" s="4" t="inlineStr">
        <is>
          <t>Xúc xích tiệt trùng</t>
        </is>
      </c>
      <c r="D32" s="4" t="inlineStr">
        <is>
          <t>Cây</t>
        </is>
      </c>
      <c r="E32" s="7">
        <v>15000</v>
      </c>
      <c r="F32" s="4" t="inlineStr">
        <is>
          <t>Mặt hàng kiêm vật tư</t>
        </is>
      </c>
      <c r="G32" s="4" t="inlineStr">
        <is>
          <t>DOKHO</t>
        </is>
      </c>
      <c r="H32" s="5">
        <f>COUNTIF('Anh_xa_Kho_Web'!$I$5:$I$57,B32)</f>
        <v>1</v>
      </c>
    </row>
    <row r="33">
      <c r="A33" s="5">
        <v>29</v>
      </c>
      <c r="B33" s="4" t="inlineStr">
        <is>
          <t>1000030</t>
        </is>
      </c>
      <c r="C33" s="4" t="inlineStr">
        <is>
          <t>Khăn ướt V1020</t>
        </is>
      </c>
      <c r="D33" s="4" t="inlineStr">
        <is>
          <t>Cái</t>
        </is>
      </c>
      <c r="E33" s="7">
        <v>5000</v>
      </c>
      <c r="F33" s="4" t="inlineStr">
        <is>
          <t>Mặt hàng kiêm vật tư</t>
        </is>
      </c>
      <c r="G33" s="4" t="inlineStr">
        <is>
          <t>DOKHO</t>
        </is>
      </c>
      <c r="H33" s="5">
        <f>COUNTIF('Anh_xa_Kho_Web'!$I$5:$I$57,B33)</f>
        <v>1</v>
      </c>
    </row>
    <row r="34">
      <c r="A34" s="5">
        <v>30</v>
      </c>
      <c r="B34" s="4" t="inlineStr">
        <is>
          <t>1000031</t>
        </is>
      </c>
      <c r="C34" s="4" t="inlineStr">
        <is>
          <t>Khăn ướt</t>
        </is>
      </c>
      <c r="D34" s="4" t="inlineStr">
        <is>
          <t>Chiếc</t>
        </is>
      </c>
      <c r="E34" s="7">
        <v>5000</v>
      </c>
      <c r="F34" s="4" t="inlineStr">
        <is>
          <t>Mặt hàng kiêm vật tư</t>
        </is>
      </c>
      <c r="G34" s="4" t="inlineStr">
        <is>
          <t>DOKHO</t>
        </is>
      </c>
      <c r="H34" s="5">
        <f>COUNTIF('Anh_xa_Kho_Web'!$I$5:$I$57,B34)</f>
        <v>0</v>
      </c>
    </row>
    <row r="35">
      <c r="A35" s="5">
        <v>31</v>
      </c>
      <c r="B35" s="4" t="inlineStr">
        <is>
          <t>1000032</t>
        </is>
      </c>
      <c r="C35" s="4" t="inlineStr">
        <is>
          <t>Bắp lắc 100gr</t>
        </is>
      </c>
      <c r="D35" s="4" t="inlineStr">
        <is>
          <t>gói</t>
        </is>
      </c>
      <c r="E35" s="7">
        <v>50000</v>
      </c>
      <c r="F35" s="4" t="inlineStr">
        <is>
          <t>Mặt hàng kiêm vật tư</t>
        </is>
      </c>
      <c r="G35" s="4" t="inlineStr">
        <is>
          <t>DOKHO</t>
        </is>
      </c>
      <c r="H35" s="5">
        <f>COUNTIF('Anh_xa_Kho_Web'!$I$5:$I$57,B35)</f>
        <v>0</v>
      </c>
    </row>
    <row r="36">
      <c r="A36" s="5">
        <v>32</v>
      </c>
      <c r="B36" s="4" t="inlineStr">
        <is>
          <t>1000033</t>
        </is>
      </c>
      <c r="C36" s="4" t="inlineStr">
        <is>
          <t>Loacker Bánh Xốp Kem 45g</t>
        </is>
      </c>
      <c r="D36" s="4" t="inlineStr">
        <is>
          <t>gói</t>
        </is>
      </c>
      <c r="E36" s="7">
        <v>60000</v>
      </c>
      <c r="F36" s="4" t="inlineStr">
        <is>
          <t>Mặt hàng kiêm vật tư</t>
        </is>
      </c>
      <c r="G36" s="4" t="inlineStr">
        <is>
          <t>DOKHO</t>
        </is>
      </c>
      <c r="H36" s="5">
        <f>COUNTIF('Anh_xa_Kho_Web'!$I$5:$I$57,B36)</f>
        <v>2</v>
      </c>
    </row>
    <row r="37">
      <c r="A37" s="5">
        <v>33</v>
      </c>
      <c r="B37" s="4" t="inlineStr">
        <is>
          <t>1000034</t>
        </is>
      </c>
      <c r="C37" s="4" t="inlineStr">
        <is>
          <t>Bánh xốp classic 45g</t>
        </is>
      </c>
      <c r="D37" s="4" t="inlineStr">
        <is>
          <t>gói</t>
        </is>
      </c>
      <c r="E37" s="7">
        <v>60000</v>
      </c>
      <c r="F37" s="4" t="inlineStr">
        <is>
          <t>Mặt hàng kiêm vật tư</t>
        </is>
      </c>
      <c r="G37" s="4" t="inlineStr">
        <is>
          <t>DOKHO</t>
        </is>
      </c>
      <c r="H37" s="5">
        <f>COUNTIF('Anh_xa_Kho_Web'!$I$5:$I$57,B37)</f>
        <v>1</v>
      </c>
    </row>
    <row r="38">
      <c r="A38" s="5">
        <v>34</v>
      </c>
      <c r="B38" s="4" t="inlineStr">
        <is>
          <t>1000035</t>
        </is>
      </c>
      <c r="C38" s="4" t="inlineStr">
        <is>
          <t>Snack ngũ vị</t>
        </is>
      </c>
      <c r="D38" s="4" t="inlineStr">
        <is>
          <t>gói</t>
        </is>
      </c>
      <c r="E38" s="7">
        <v>20000</v>
      </c>
      <c r="F38" s="4" t="inlineStr">
        <is>
          <t>Mặt hàng kiêm vật tư</t>
        </is>
      </c>
      <c r="G38" s="4" t="inlineStr">
        <is>
          <t>DOKHO</t>
        </is>
      </c>
      <c r="H38" s="5">
        <f>COUNTIF('Anh_xa_Kho_Web'!$I$5:$I$57,B38)</f>
        <v>0</v>
      </c>
    </row>
    <row r="39">
      <c r="A39" s="5">
        <v>35</v>
      </c>
      <c r="B39" s="4" t="inlineStr">
        <is>
          <t>1000036</t>
        </is>
      </c>
      <c r="C39" s="4" t="inlineStr">
        <is>
          <t>THỊT TRÂU SẤY</t>
        </is>
      </c>
      <c r="D39" s="4" t="inlineStr">
        <is>
          <t>đĩa</t>
        </is>
      </c>
      <c r="E39" s="7">
        <v>250000</v>
      </c>
      <c r="F39" s="4" t="inlineStr">
        <is>
          <t>Mặt hàng kiêm vật tư</t>
        </is>
      </c>
      <c r="G39" s="4" t="inlineStr">
        <is>
          <t>DOKHO</t>
        </is>
      </c>
      <c r="H39" s="5">
        <f>COUNTIF('Anh_xa_Kho_Web'!$I$5:$I$57,B39)</f>
        <v>0</v>
      </c>
    </row>
    <row r="40">
      <c r="A40" s="5">
        <v>36</v>
      </c>
      <c r="B40" s="4" t="inlineStr">
        <is>
          <t>1000037</t>
        </is>
      </c>
      <c r="C40" s="4" t="inlineStr">
        <is>
          <t>Thịt trâu gác bếp</t>
        </is>
      </c>
      <c r="D40" s="4" t="inlineStr">
        <is>
          <t>đĩa</t>
        </is>
      </c>
      <c r="E40" s="7">
        <v>250000</v>
      </c>
      <c r="F40" s="4" t="inlineStr">
        <is>
          <t>Mặt hàng kiêm vật tư</t>
        </is>
      </c>
      <c r="G40" s="4" t="inlineStr">
        <is>
          <t>DOKHO</t>
        </is>
      </c>
      <c r="H40" s="5">
        <f>COUNTIF('Anh_xa_Kho_Web'!$I$5:$I$57,B40)</f>
        <v>0</v>
      </c>
    </row>
    <row r="41">
      <c r="A41" s="5">
        <v>37</v>
      </c>
      <c r="B41" s="4" t="inlineStr">
        <is>
          <t>1000038</t>
        </is>
      </c>
      <c r="C41" s="4" t="inlineStr">
        <is>
          <t>Snack Oishi</t>
        </is>
      </c>
      <c r="D41" s="4" t="inlineStr">
        <is>
          <t>gói</t>
        </is>
      </c>
      <c r="E41" s="7">
        <v>20000</v>
      </c>
      <c r="F41" s="4" t="inlineStr">
        <is>
          <t>Mặt hàng kiêm vật tư</t>
        </is>
      </c>
      <c r="G41" s="4" t="inlineStr">
        <is>
          <t>DOKHO</t>
        </is>
      </c>
      <c r="H41" s="5">
        <f>COUNTIF('Anh_xa_Kho_Web'!$I$5:$I$57,B41)</f>
        <v>0</v>
      </c>
    </row>
    <row r="42">
      <c r="A42" s="5">
        <v>38</v>
      </c>
      <c r="B42" s="4" t="inlineStr">
        <is>
          <t>1000039</t>
        </is>
      </c>
      <c r="C42" s="4" t="inlineStr">
        <is>
          <t>DOSI Da Heo Cháy Tỏi</t>
        </is>
      </c>
      <c r="D42" s="4" t="inlineStr">
        <is>
          <t>gói</t>
        </is>
      </c>
      <c r="E42" s="7">
        <v>40000</v>
      </c>
      <c r="F42" s="4" t="inlineStr">
        <is>
          <t>Mặt hàng kiêm vật tư</t>
        </is>
      </c>
      <c r="G42" s="4" t="inlineStr">
        <is>
          <t>DOKHO</t>
        </is>
      </c>
      <c r="H42" s="5">
        <f>COUNTIF('Anh_xa_Kho_Web'!$I$5:$I$57,B42)</f>
        <v>1</v>
      </c>
    </row>
    <row r="43">
      <c r="A43" s="5">
        <v>39</v>
      </c>
      <c r="B43" s="4" t="inlineStr">
        <is>
          <t>1000040</t>
        </is>
      </c>
      <c r="C43" s="4" t="inlineStr">
        <is>
          <t>DOSI Snack Quẩy Xoắn</t>
        </is>
      </c>
      <c r="D43" s="4" t="inlineStr">
        <is>
          <t>gói</t>
        </is>
      </c>
      <c r="E43" s="7">
        <v>30000</v>
      </c>
      <c r="F43" s="4" t="inlineStr">
        <is>
          <t>Mặt hàng kiêm vật tư</t>
        </is>
      </c>
      <c r="G43" s="4" t="inlineStr">
        <is>
          <t>DOKHO</t>
        </is>
      </c>
      <c r="H43" s="5">
        <f>COUNTIF('Anh_xa_Kho_Web'!$I$5:$I$57,B43)</f>
        <v>1</v>
      </c>
    </row>
    <row r="44">
      <c r="A44" s="5">
        <v>40</v>
      </c>
      <c r="B44" s="4" t="inlineStr">
        <is>
          <t>1000041</t>
        </is>
      </c>
      <c r="C44" s="4" t="inlineStr">
        <is>
          <t>DOSI Tóp mỡ cuộn cháy tỏi</t>
        </is>
      </c>
      <c r="D44" s="4" t="inlineStr">
        <is>
          <t>gói</t>
        </is>
      </c>
      <c r="E44" s="7">
        <v>50000</v>
      </c>
      <c r="F44" s="4" t="inlineStr">
        <is>
          <t>Mặt hàng kiêm vật tư</t>
        </is>
      </c>
      <c r="G44" s="4" t="inlineStr">
        <is>
          <t>DOKHO</t>
        </is>
      </c>
      <c r="H44" s="5">
        <f>COUNTIF('Anh_xa_Kho_Web'!$I$5:$I$57,B44)</f>
        <v>1</v>
      </c>
    </row>
    <row r="45">
      <c r="A45" s="5">
        <v>41</v>
      </c>
      <c r="B45" s="4" t="inlineStr">
        <is>
          <t>1000042</t>
        </is>
      </c>
      <c r="C45" s="4" t="inlineStr">
        <is>
          <t>Khoai Lang Sấy</t>
        </is>
      </c>
      <c r="D45" s="4" t="inlineStr">
        <is>
          <t>hộp</t>
        </is>
      </c>
      <c r="E45" s="7">
        <v>50000</v>
      </c>
      <c r="F45" s="4" t="inlineStr">
        <is>
          <t>Mặt hàng kiêm vật tư</t>
        </is>
      </c>
      <c r="G45" s="4" t="inlineStr">
        <is>
          <t>DOKHO</t>
        </is>
      </c>
      <c r="H45" s="5">
        <f>COUNTIF('Anh_xa_Kho_Web'!$I$5:$I$57,B45)</f>
        <v>1</v>
      </c>
    </row>
    <row r="46">
      <c r="A46" s="5">
        <v>42</v>
      </c>
      <c r="B46" s="4" t="inlineStr">
        <is>
          <t>1000043</t>
        </is>
      </c>
      <c r="C46" s="4" t="inlineStr">
        <is>
          <t>Bò miếng to 60g</t>
        </is>
      </c>
      <c r="D46" s="4" t="inlineStr">
        <is>
          <t>gói</t>
        </is>
      </c>
      <c r="E46" s="7">
        <v>90000</v>
      </c>
      <c r="F46" s="4" t="inlineStr">
        <is>
          <t>Mặt hàng kiêm vật tư</t>
        </is>
      </c>
      <c r="G46" s="4" t="inlineStr">
        <is>
          <t>DOKHO</t>
        </is>
      </c>
      <c r="H46" s="5">
        <f>COUNTIF('Anh_xa_Kho_Web'!$I$5:$I$57,B46)</f>
        <v>1</v>
      </c>
    </row>
    <row r="47">
      <c r="A47" s="5">
        <v>43</v>
      </c>
      <c r="B47" s="4" t="inlineStr">
        <is>
          <t>1000044</t>
        </is>
      </c>
      <c r="C47" s="4" t="inlineStr">
        <is>
          <t>Mơ Hồng Lam 5 60g</t>
        </is>
      </c>
      <c r="D47" s="4" t="inlineStr">
        <is>
          <t>gói</t>
        </is>
      </c>
      <c r="E47" s="7">
        <v>70000</v>
      </c>
      <c r="F47" s="4" t="inlineStr">
        <is>
          <t>Mặt hàng kiêm vật tư</t>
        </is>
      </c>
      <c r="G47" s="4" t="inlineStr">
        <is>
          <t>DOKHO</t>
        </is>
      </c>
      <c r="H47" s="5">
        <f>COUNTIF('Anh_xa_Kho_Web'!$I$5:$I$57,B47)</f>
        <v>1</v>
      </c>
    </row>
    <row r="48">
      <c r="A48" s="5">
        <v>44</v>
      </c>
      <c r="B48" s="4" t="inlineStr">
        <is>
          <t>1000045</t>
        </is>
      </c>
      <c r="C48" s="4" t="inlineStr">
        <is>
          <t>Xí muội mận không hạt chua ngọt 65g</t>
        </is>
      </c>
      <c r="D48" s="4" t="inlineStr">
        <is>
          <t>gói</t>
        </is>
      </c>
      <c r="E48" s="7">
        <v>65000</v>
      </c>
      <c r="F48" s="4" t="inlineStr">
        <is>
          <t>Mặt hàng kiêm vật tư</t>
        </is>
      </c>
      <c r="G48" s="4" t="inlineStr">
        <is>
          <t>DOKHO</t>
        </is>
      </c>
      <c r="H48" s="5">
        <f>COUNTIF('Anh_xa_Kho_Web'!$I$5:$I$57,B48)</f>
        <v>1</v>
      </c>
    </row>
    <row r="49">
      <c r="A49" s="5">
        <v>45</v>
      </c>
      <c r="B49" s="4" t="inlineStr">
        <is>
          <t>1000046</t>
        </is>
      </c>
      <c r="C49" s="4" t="inlineStr">
        <is>
          <t>NƯỚC STC CAM THTRUEJUICEMILK 300MLX24</t>
        </is>
      </c>
      <c r="D49" s="4" t="inlineStr">
        <is>
          <t>chai</t>
        </is>
      </c>
      <c r="E49" s="7">
        <v>30000</v>
      </c>
      <c r="F49" s="4" t="inlineStr">
        <is>
          <t>Mặt hàng kiêm vật tư</t>
        </is>
      </c>
      <c r="G49" s="4" t="inlineStr">
        <is>
          <t>BIA - NƯỚC NGỌT</t>
        </is>
      </c>
      <c r="H49" s="5">
        <f>COUNTIF('Anh_xa_Kho_Web'!$I$5:$I$57,B49)</f>
        <v>0</v>
      </c>
    </row>
    <row r="50">
      <c r="A50" s="5">
        <v>46</v>
      </c>
      <c r="B50" s="4" t="inlineStr">
        <is>
          <t>1000047</t>
        </is>
      </c>
      <c r="C50" s="4" t="inlineStr">
        <is>
          <t>Bánh snack bắp 40g Vfoods</t>
        </is>
      </c>
      <c r="D50" s="4" t="inlineStr">
        <is>
          <t>gói</t>
        </is>
      </c>
      <c r="E50" s="7">
        <v>60000</v>
      </c>
      <c r="F50" s="4" t="inlineStr">
        <is>
          <t>Mặt hàng kiêm vật tư</t>
        </is>
      </c>
      <c r="G50" s="4" t="inlineStr">
        <is>
          <t>DOKHO</t>
        </is>
      </c>
      <c r="H50" s="5">
        <f>COUNTIF('Anh_xa_Kho_Web'!$I$5:$I$57,B50)</f>
        <v>1</v>
      </c>
    </row>
    <row r="51">
      <c r="A51" s="5">
        <v>47</v>
      </c>
      <c r="B51" s="4" t="inlineStr">
        <is>
          <t>1000048</t>
        </is>
      </c>
      <c r="C51" s="4" t="inlineStr">
        <is>
          <t>Chân Gà Rút Xương 28g</t>
        </is>
      </c>
      <c r="D51" s="4" t="inlineStr">
        <is>
          <t>gói</t>
        </is>
      </c>
      <c r="E51" s="7">
        <v>20000</v>
      </c>
      <c r="F51" s="4" t="inlineStr">
        <is>
          <t>Mặt hàng kiêm vật tư</t>
        </is>
      </c>
      <c r="G51" s="4" t="inlineStr">
        <is>
          <t>DOKHO</t>
        </is>
      </c>
      <c r="H51" s="5">
        <f>COUNTIF('Anh_xa_Kho_Web'!$I$5:$I$57,B51)</f>
        <v>1</v>
      </c>
    </row>
    <row r="52">
      <c r="A52" s="5">
        <v>48</v>
      </c>
      <c r="B52" s="4" t="inlineStr">
        <is>
          <t>1000049</t>
        </is>
      </c>
      <c r="C52" s="4" t="inlineStr">
        <is>
          <t>Đậu mix hạt tổng hợp Cam Nguyên 56 gam</t>
        </is>
      </c>
      <c r="D52" s="4" t="inlineStr">
        <is>
          <t>gói</t>
        </is>
      </c>
      <c r="E52" s="7">
        <v>40000</v>
      </c>
      <c r="F52" s="4" t="inlineStr">
        <is>
          <t>Mặt hàng kiêm vật tư</t>
        </is>
      </c>
      <c r="G52" s="4" t="inlineStr">
        <is>
          <t>DOKHO</t>
        </is>
      </c>
      <c r="H52" s="5">
        <f>COUNTIF('Anh_xa_Kho_Web'!$I$5:$I$57,B52)</f>
        <v>0</v>
      </c>
    </row>
    <row r="53">
      <c r="A53" s="5">
        <v>49</v>
      </c>
      <c r="B53" s="4" t="inlineStr">
        <is>
          <t>1000050</t>
        </is>
      </c>
      <c r="C53" s="4" t="inlineStr">
        <is>
          <t>Lay's vi Khoai Tay Tu Nhien Classic 30g 16x10</t>
        </is>
      </c>
      <c r="D53" s="4" t="inlineStr">
        <is>
          <t>gói</t>
        </is>
      </c>
      <c r="E53" s="7">
        <v>15000</v>
      </c>
      <c r="F53" s="4" t="inlineStr">
        <is>
          <t>Mặt hàng kiêm vật tư</t>
        </is>
      </c>
      <c r="G53" s="4" t="inlineStr">
        <is>
          <t>DOKHO</t>
        </is>
      </c>
      <c r="H53" s="5">
        <f>COUNTIF('Anh_xa_Kho_Web'!$I$5:$I$57,B53)</f>
        <v>0</v>
      </c>
    </row>
    <row r="54">
      <c r="A54" s="5">
        <v>50</v>
      </c>
      <c r="B54" s="4" t="inlineStr">
        <is>
          <t>1000051</t>
        </is>
      </c>
      <c r="C54" s="4" t="inlineStr">
        <is>
          <t>Lay's vi Than Bo Nuong Texas 30G 16X10</t>
        </is>
      </c>
      <c r="D54" s="4" t="inlineStr">
        <is>
          <t>gói</t>
        </is>
      </c>
      <c r="E54" s="7">
        <v>15000</v>
      </c>
      <c r="F54" s="4" t="inlineStr">
        <is>
          <t>Mặt hàng kiêm vật tư</t>
        </is>
      </c>
      <c r="G54" s="4" t="inlineStr">
        <is>
          <t>DOKHO</t>
        </is>
      </c>
      <c r="H54" s="5">
        <f>COUNTIF('Anh_xa_Kho_Web'!$I$5:$I$57,B54)</f>
        <v>0</v>
      </c>
    </row>
    <row r="55">
      <c r="A55" s="5">
        <v>51</v>
      </c>
      <c r="B55" s="4" t="inlineStr">
        <is>
          <t>1000052</t>
        </is>
      </c>
      <c r="C55" s="4" t="inlineStr">
        <is>
          <t>Lay's Wavy vi muoi nguyen ban 30G 16X10</t>
        </is>
      </c>
      <c r="D55" s="4" t="inlineStr">
        <is>
          <t>gói</t>
        </is>
      </c>
      <c r="E55" s="7">
        <v>15000</v>
      </c>
      <c r="F55" s="4" t="inlineStr">
        <is>
          <t>Mặt hàng kiêm vật tư</t>
        </is>
      </c>
      <c r="G55" s="4" t="inlineStr">
        <is>
          <t>DOKHO</t>
        </is>
      </c>
      <c r="H55" s="5">
        <f>COUNTIF('Anh_xa_Kho_Web'!$I$5:$I$57,B55)</f>
        <v>1</v>
      </c>
    </row>
    <row r="56">
      <c r="A56" s="5">
        <v>52</v>
      </c>
      <c r="B56" s="4" t="inlineStr">
        <is>
          <t>1000053</t>
        </is>
      </c>
      <c r="C56" s="4" t="inlineStr">
        <is>
          <t>Lay's Wavy vi Pho Mai Cheddar 28g 16x10</t>
        </is>
      </c>
      <c r="D56" s="4" t="inlineStr">
        <is>
          <t>gói</t>
        </is>
      </c>
      <c r="E56" s="7">
        <v>15000</v>
      </c>
      <c r="F56" s="4" t="inlineStr">
        <is>
          <t>Mặt hàng kiêm vật tư</t>
        </is>
      </c>
      <c r="G56" s="4" t="inlineStr">
        <is>
          <t>DOKHO</t>
        </is>
      </c>
      <c r="H56" s="5">
        <f>COUNTIF('Anh_xa_Kho_Web'!$I$5:$I$57,B56)</f>
        <v>2</v>
      </c>
    </row>
    <row r="57">
      <c r="A57" s="5">
        <v>53</v>
      </c>
      <c r="B57" s="4" t="inlineStr">
        <is>
          <t>1000054</t>
        </is>
      </c>
      <c r="C57" s="4" t="inlineStr">
        <is>
          <t>Sấu bao tử 100gg</t>
        </is>
      </c>
      <c r="D57" s="4" t="inlineStr">
        <is>
          <t>gói</t>
        </is>
      </c>
      <c r="E57" s="7">
        <v>70000</v>
      </c>
      <c r="F57" s="4" t="inlineStr">
        <is>
          <t>Mặt hàng kiêm vật tư</t>
        </is>
      </c>
      <c r="G57" s="4" t="inlineStr">
        <is>
          <t>DOKHO</t>
        </is>
      </c>
      <c r="H57" s="5">
        <f>COUNTIF('Anh_xa_Kho_Web'!$I$5:$I$57,B57)</f>
        <v>1</v>
      </c>
    </row>
    <row r="58">
      <c r="A58" s="5">
        <v>54</v>
      </c>
      <c r="B58" s="4" t="inlineStr">
        <is>
          <t>1000055</t>
        </is>
      </c>
      <c r="C58" s="4" t="inlineStr">
        <is>
          <t>Snack Đậu Xanh Nước Dừa Oishi</t>
        </is>
      </c>
      <c r="D58" s="4" t="inlineStr">
        <is>
          <t>gói</t>
        </is>
      </c>
      <c r="E58" s="7">
        <v>20000</v>
      </c>
      <c r="F58" s="4" t="inlineStr">
        <is>
          <t>Mặt hàng kiêm vật tư</t>
        </is>
      </c>
      <c r="G58" s="4" t="inlineStr">
        <is>
          <t>DOKHO</t>
        </is>
      </c>
      <c r="H58" s="5">
        <f>COUNTIF('Anh_xa_Kho_Web'!$I$5:$I$57,B58)</f>
        <v>0</v>
      </c>
    </row>
    <row r="59">
      <c r="A59" s="5">
        <v>55</v>
      </c>
      <c r="B59" s="4" t="inlineStr">
        <is>
          <t>1000056</t>
        </is>
      </c>
      <c r="C59" s="4" t="inlineStr">
        <is>
          <t>Snack Oishi Tôm Cay Nồng</t>
        </is>
      </c>
      <c r="D59" s="4" t="inlineStr">
        <is>
          <t>gói</t>
        </is>
      </c>
      <c r="E59" s="7">
        <v>20000</v>
      </c>
      <c r="F59" s="4" t="inlineStr">
        <is>
          <t>Mặt hàng kiêm vật tư</t>
        </is>
      </c>
      <c r="G59" s="4" t="inlineStr">
        <is>
          <t>DOKHO</t>
        </is>
      </c>
      <c r="H59" s="5">
        <f>COUNTIF('Anh_xa_Kho_Web'!$I$5:$I$57,B59)</f>
        <v>0</v>
      </c>
    </row>
    <row r="60">
      <c r="A60" s="5">
        <v>56</v>
      </c>
      <c r="B60" s="4" t="inlineStr">
        <is>
          <t>1000057</t>
        </is>
      </c>
      <c r="C60" s="4" t="inlineStr">
        <is>
          <t>Snack Tôm Xốt Tương Mật Ong Oishi</t>
        </is>
      </c>
      <c r="D60" s="4" t="inlineStr">
        <is>
          <t>gói</t>
        </is>
      </c>
      <c r="E60" s="7">
        <v>20000</v>
      </c>
      <c r="F60" s="4" t="inlineStr">
        <is>
          <t>Mặt hàng kiêm vật tư</t>
        </is>
      </c>
      <c r="G60" s="4" t="inlineStr">
        <is>
          <t>DOKHO</t>
        </is>
      </c>
      <c r="H60" s="5">
        <f>COUNTIF('Anh_xa_Kho_Web'!$I$5:$I$57,B60)</f>
        <v>0</v>
      </c>
    </row>
    <row r="61">
      <c r="A61" s="5">
        <v>57</v>
      </c>
      <c r="B61" s="4" t="inlineStr">
        <is>
          <t>1000058</t>
        </is>
      </c>
      <c r="C61" s="4" t="inlineStr">
        <is>
          <t>Trứng cút vị muối nướng Alaco 45g</t>
        </is>
      </c>
      <c r="D61" s="4" t="inlineStr">
        <is>
          <t>gói</t>
        </is>
      </c>
      <c r="E61" s="7">
        <v>35000</v>
      </c>
      <c r="F61" s="4" t="inlineStr">
        <is>
          <t>Mặt hàng kiêm vật tư</t>
        </is>
      </c>
      <c r="G61" s="4" t="inlineStr">
        <is>
          <t>DOKHO</t>
        </is>
      </c>
      <c r="H61" s="5">
        <f>COUNTIF('Anh_xa_Kho_Web'!$I$5:$I$57,B61)</f>
        <v>1</v>
      </c>
    </row>
    <row r="62">
      <c r="A62" s="5">
        <v>58</v>
      </c>
      <c r="B62" s="4" t="inlineStr">
        <is>
          <t>1000059</t>
        </is>
      </c>
      <c r="C62" s="4" t="inlineStr">
        <is>
          <t>Bim bim Lay's</t>
        </is>
      </c>
      <c r="D62" s="4" t="inlineStr">
        <is>
          <t>gói</t>
        </is>
      </c>
      <c r="E62" s="7">
        <v>15000</v>
      </c>
      <c r="F62" s="4" t="inlineStr">
        <is>
          <t>Mặt hàng kiêm vật tư</t>
        </is>
      </c>
      <c r="G62" s="4" t="inlineStr">
        <is>
          <t>DOKHO</t>
        </is>
      </c>
      <c r="H62" s="5">
        <f>COUNTIF('Anh_xa_Kho_Web'!$I$5:$I$57,B62)</f>
        <v>0</v>
      </c>
    </row>
    <row r="63">
      <c r="A63" s="5">
        <v>59</v>
      </c>
      <c r="B63" s="4" t="inlineStr">
        <is>
          <t>1000060</t>
        </is>
      </c>
      <c r="C63" s="4" t="inlineStr">
        <is>
          <t>Bánh que đỏ Stick Biscuit 55 gram</t>
        </is>
      </c>
      <c r="D63" s="4" t="inlineStr">
        <is>
          <t>gói</t>
        </is>
      </c>
      <c r="E63" s="7">
        <v>30000</v>
      </c>
      <c r="F63" s="4" t="inlineStr">
        <is>
          <t>Mặt hàng kiêm vật tư</t>
        </is>
      </c>
      <c r="G63" s="4" t="inlineStr">
        <is>
          <t>DOKHO</t>
        </is>
      </c>
      <c r="H63" s="5">
        <f>COUNTIF('Anh_xa_Kho_Web'!$I$5:$I$57,B63)</f>
        <v>0</v>
      </c>
    </row>
    <row r="64">
      <c r="A64" s="5">
        <v>60</v>
      </c>
      <c r="B64" s="4" t="inlineStr">
        <is>
          <t>1000061</t>
        </is>
      </c>
      <c r="C64" s="4" t="inlineStr">
        <is>
          <t>Chân gà rút xương bà Tuyết 26g</t>
        </is>
      </c>
      <c r="D64" s="4" t="inlineStr">
        <is>
          <t>gói</t>
        </is>
      </c>
      <c r="E64" s="7">
        <v>20000</v>
      </c>
      <c r="F64" s="4" t="inlineStr">
        <is>
          <t>Mặt hàng kiêm vật tư</t>
        </is>
      </c>
      <c r="G64" s="4" t="inlineStr">
        <is>
          <t>DOKHO</t>
        </is>
      </c>
      <c r="H64" s="5">
        <f>COUNTIF('Anh_xa_Kho_Web'!$I$5:$I$57,B64)</f>
        <v>0</v>
      </c>
    </row>
    <row r="65">
      <c r="A65" s="5">
        <v>61</v>
      </c>
      <c r="B65" s="4" t="inlineStr">
        <is>
          <t>1000062</t>
        </is>
      </c>
      <c r="C65" s="4" t="inlineStr">
        <is>
          <t>Kẹo The Không Đường Playmore 22G</t>
        </is>
      </c>
      <c r="D65" s="4" t="inlineStr">
        <is>
          <t>Hũ</t>
        </is>
      </c>
      <c r="E65" s="7">
        <v>80000</v>
      </c>
      <c r="F65" s="4" t="inlineStr">
        <is>
          <t>Mặt hàng kiêm vật tư</t>
        </is>
      </c>
      <c r="G65" s="4" t="inlineStr">
        <is>
          <t>DOKHO</t>
        </is>
      </c>
      <c r="H65" s="5">
        <f>COUNTIF('Anh_xa_Kho_Web'!$I$5:$I$57,B65)</f>
        <v>0</v>
      </c>
    </row>
    <row r="66">
      <c r="A66" s="5">
        <v>62</v>
      </c>
      <c r="B66" s="4" t="inlineStr">
        <is>
          <t>1100001</t>
        </is>
      </c>
      <c r="C66" s="4" t="inlineStr">
        <is>
          <t>Bia Budweiser 330ml</t>
        </is>
      </c>
      <c r="D66" s="4" t="inlineStr">
        <is>
          <t>chai</t>
        </is>
      </c>
      <c r="E66" s="7">
        <v>55000</v>
      </c>
      <c r="F66" s="4" t="inlineStr">
        <is>
          <t>Mặt hàng kiêm vật tư</t>
        </is>
      </c>
      <c r="G66" s="4" t="inlineStr">
        <is>
          <t>BIA - NƯỚC NGỌT</t>
        </is>
      </c>
      <c r="H66" s="5">
        <f>COUNTIF('Anh_xa_Kho_Web'!$I$5:$I$57,B66)</f>
        <v>0</v>
      </c>
    </row>
    <row r="67">
      <c r="A67" s="5">
        <v>63</v>
      </c>
      <c r="B67" s="4" t="inlineStr">
        <is>
          <t>1100002</t>
        </is>
      </c>
      <c r="C67" s="4" t="inlineStr">
        <is>
          <t>BIA CORONA EXTRA (250ml)</t>
        </is>
      </c>
      <c r="D67" s="4" t="inlineStr">
        <is>
          <t>chai</t>
        </is>
      </c>
      <c r="E67" s="7">
        <v>65000</v>
      </c>
      <c r="F67" s="4" t="inlineStr">
        <is>
          <t>Mặt hàng kiêm vật tư</t>
        </is>
      </c>
      <c r="G67" s="4" t="inlineStr">
        <is>
          <t>BIA - NƯỚC NGỌT</t>
        </is>
      </c>
      <c r="H67" s="5">
        <f>COUNTIF('Anh_xa_Kho_Web'!$I$5:$I$57,B67)</f>
        <v>0</v>
      </c>
    </row>
    <row r="68">
      <c r="A68" s="5">
        <v>64</v>
      </c>
      <c r="B68" s="4" t="inlineStr">
        <is>
          <t>1100003</t>
        </is>
      </c>
      <c r="C68" s="4" t="inlineStr">
        <is>
          <t>Bia Tiger bạc</t>
        </is>
      </c>
      <c r="D68" s="4" t="inlineStr">
        <is>
          <t>chai</t>
        </is>
      </c>
      <c r="E68" s="7">
        <v>45000</v>
      </c>
      <c r="F68" s="4" t="inlineStr">
        <is>
          <t>Mặt hàng kiêm vật tư</t>
        </is>
      </c>
      <c r="G68" s="4" t="inlineStr">
        <is>
          <t>BIA - NƯỚC NGỌT</t>
        </is>
      </c>
      <c r="H68" s="5">
        <f>COUNTIF('Anh_xa_Kho_Web'!$I$5:$I$57,B68)</f>
        <v>0</v>
      </c>
    </row>
    <row r="69">
      <c r="A69" s="5">
        <v>65</v>
      </c>
      <c r="B69" s="4" t="inlineStr">
        <is>
          <t>1100004</t>
        </is>
      </c>
      <c r="C69" s="4" t="inlineStr">
        <is>
          <t>BÒ HÚC</t>
        </is>
      </c>
      <c r="D69" s="4" t="inlineStr">
        <is>
          <t>chai</t>
        </is>
      </c>
      <c r="E69" s="7">
        <v>30000</v>
      </c>
      <c r="F69" s="4" t="inlineStr">
        <is>
          <t>Mặt hàng kiêm vật tư</t>
        </is>
      </c>
      <c r="G69" s="4" t="inlineStr">
        <is>
          <t>BIA - NƯỚC NGỌT</t>
        </is>
      </c>
      <c r="H69" s="5">
        <f>COUNTIF('Anh_xa_Kho_Web'!$I$5:$I$57,B69)</f>
        <v>0</v>
      </c>
    </row>
    <row r="70">
      <c r="A70" s="5">
        <v>66</v>
      </c>
      <c r="B70" s="4" t="inlineStr">
        <is>
          <t>1100005</t>
        </is>
      </c>
      <c r="C70" s="4" t="inlineStr">
        <is>
          <t>Hắc sâm</t>
        </is>
      </c>
      <c r="D70" s="4" t="inlineStr">
        <is>
          <t>gói</t>
        </is>
      </c>
      <c r="E70" s="7">
        <v>70000</v>
      </c>
      <c r="F70" s="4" t="inlineStr">
        <is>
          <t>Mặt hàng kiêm vật tư</t>
        </is>
      </c>
      <c r="G70" s="4" t="inlineStr">
        <is>
          <t>BIA - NƯỚC NGỌT</t>
        </is>
      </c>
      <c r="H70" s="5">
        <f>COUNTIF('Anh_xa_Kho_Web'!$I$5:$I$57,B70)</f>
        <v>0</v>
      </c>
    </row>
    <row r="71">
      <c r="A71" s="5">
        <v>67</v>
      </c>
      <c r="B71" s="4" t="inlineStr">
        <is>
          <t>1100006</t>
        </is>
      </c>
      <c r="C71" s="4" t="inlineStr">
        <is>
          <t>HỒNG SÂM HQ</t>
        </is>
      </c>
      <c r="D71" s="4" t="inlineStr">
        <is>
          <t>gói</t>
        </is>
      </c>
      <c r="E71" s="7">
        <v>60000</v>
      </c>
      <c r="F71" s="4" t="inlineStr">
        <is>
          <t>Mặt hàng kiêm vật tư</t>
        </is>
      </c>
      <c r="G71" s="4" t="inlineStr">
        <is>
          <t>BIA - NƯỚC NGỌT</t>
        </is>
      </c>
      <c r="H71" s="5">
        <f>COUNTIF('Anh_xa_Kho_Web'!$I$5:$I$57,B71)</f>
        <v>0</v>
      </c>
    </row>
    <row r="72">
      <c r="A72" s="5">
        <v>68</v>
      </c>
      <c r="B72" s="4" t="inlineStr">
        <is>
          <t>1100007</t>
        </is>
      </c>
      <c r="C72" s="4" t="inlineStr">
        <is>
          <t>KEN PHÁP</t>
        </is>
      </c>
      <c r="D72" s="4" t="inlineStr">
        <is>
          <t>chai</t>
        </is>
      </c>
      <c r="E72" s="7">
        <v>65000</v>
      </c>
      <c r="F72" s="4" t="inlineStr">
        <is>
          <t>Mặt hàng kiêm vật tư</t>
        </is>
      </c>
      <c r="G72" s="4" t="inlineStr">
        <is>
          <t>BIA - NƯỚC NGỌT</t>
        </is>
      </c>
      <c r="H72" s="5">
        <f>COUNTIF('Anh_xa_Kho_Web'!$I$5:$I$57,B72)</f>
        <v>0</v>
      </c>
    </row>
    <row r="73">
      <c r="A73" s="5">
        <v>69</v>
      </c>
      <c r="B73" s="4" t="inlineStr">
        <is>
          <t>1100008</t>
        </is>
      </c>
      <c r="C73" s="4" t="inlineStr">
        <is>
          <t>NƯỚC GIẢI RƯỢU THẢO MỘC</t>
        </is>
      </c>
      <c r="D73" s="4" t="inlineStr">
        <is>
          <t>chai</t>
        </is>
      </c>
      <c r="E73" s="7">
        <v>85000</v>
      </c>
      <c r="F73" s="4" t="inlineStr">
        <is>
          <t>Mặt hàng kiêm vật tư</t>
        </is>
      </c>
      <c r="G73" s="4" t="inlineStr">
        <is>
          <t>BIA - NƯỚC NGỌT</t>
        </is>
      </c>
      <c r="H73" s="5">
        <f>COUNTIF('Anh_xa_Kho_Web'!$I$5:$I$57,B73)</f>
        <v>0</v>
      </c>
    </row>
    <row r="74">
      <c r="A74" s="5">
        <v>70</v>
      </c>
      <c r="B74" s="4" t="inlineStr">
        <is>
          <t>1100009</t>
        </is>
      </c>
      <c r="C74" s="4" t="inlineStr">
        <is>
          <t>NƯỚC SÂM HQ</t>
        </is>
      </c>
      <c r="D74" s="4" t="inlineStr">
        <is>
          <t>chai</t>
        </is>
      </c>
      <c r="E74" s="7">
        <v>30000</v>
      </c>
      <c r="F74" s="4" t="inlineStr">
        <is>
          <t>Mặt hàng kiêm vật tư</t>
        </is>
      </c>
      <c r="G74" s="4" t="inlineStr">
        <is>
          <t>BIA - NƯỚC NGỌT</t>
        </is>
      </c>
      <c r="H74" s="5">
        <f>COUNTIF('Anh_xa_Kho_Web'!$I$5:$I$57,B74)</f>
        <v>0</v>
      </c>
    </row>
    <row r="75">
      <c r="A75" s="5">
        <v>71</v>
      </c>
      <c r="B75" s="4" t="inlineStr">
        <is>
          <t>1100010</t>
        </is>
      </c>
      <c r="C75" s="4" t="inlineStr">
        <is>
          <t>NƯỚC SUỐI</t>
        </is>
      </c>
      <c r="D75" s="4" t="inlineStr">
        <is>
          <t>chai</t>
        </is>
      </c>
      <c r="E75" s="7">
        <v>20000</v>
      </c>
      <c r="F75" s="4" t="inlineStr">
        <is>
          <t>Mặt hàng kiêm vật tư</t>
        </is>
      </c>
      <c r="G75" s="4" t="inlineStr">
        <is>
          <t>BIA - NƯỚC NGỌT</t>
        </is>
      </c>
      <c r="H75" s="5">
        <f>COUNTIF('Anh_xa_Kho_Web'!$I$5:$I$57,B75)</f>
        <v>0</v>
      </c>
    </row>
    <row r="76">
      <c r="A76" s="5">
        <v>72</v>
      </c>
      <c r="B76" s="4" t="inlineStr">
        <is>
          <t>1100011</t>
        </is>
      </c>
      <c r="C76" s="4" t="inlineStr">
        <is>
          <t>NƯỚC YẾN</t>
        </is>
      </c>
      <c r="D76" s="4" t="inlineStr">
        <is>
          <t>chai</t>
        </is>
      </c>
      <c r="E76" s="7">
        <v>90000</v>
      </c>
      <c r="F76" s="4" t="inlineStr">
        <is>
          <t>Mặt hàng kiêm vật tư</t>
        </is>
      </c>
      <c r="G76" s="4" t="inlineStr">
        <is>
          <t>BIA - NƯỚC NGỌT</t>
        </is>
      </c>
      <c r="H76" s="5">
        <f>COUNTIF('Anh_xa_Kho_Web'!$I$5:$I$57,B76)</f>
        <v>1</v>
      </c>
    </row>
    <row r="77">
      <c r="A77" s="5">
        <v>73</v>
      </c>
      <c r="B77" s="4" t="inlineStr">
        <is>
          <t>1100012</t>
        </is>
      </c>
      <c r="C77" s="4" t="inlineStr">
        <is>
          <t>NƯỚC YẾN LON</t>
        </is>
      </c>
      <c r="D77" s="4" t="inlineStr">
        <is>
          <t>chai</t>
        </is>
      </c>
      <c r="E77" s="7">
        <v>30000</v>
      </c>
      <c r="F77" s="4" t="inlineStr">
        <is>
          <t>Mặt hàng kiêm vật tư</t>
        </is>
      </c>
      <c r="G77" s="4" t="inlineStr">
        <is>
          <t>BIA - NƯỚC NGỌT</t>
        </is>
      </c>
      <c r="H77" s="5">
        <f>COUNTIF('Anh_xa_Kho_Web'!$I$5:$I$57,B77)</f>
        <v>2</v>
      </c>
    </row>
    <row r="78">
      <c r="A78" s="5">
        <v>74</v>
      </c>
      <c r="B78" s="4" t="inlineStr">
        <is>
          <t>1100013</t>
        </is>
      </c>
      <c r="C78" s="4" t="inlineStr">
        <is>
          <t>PEPSI</t>
        </is>
      </c>
      <c r="D78" s="4" t="inlineStr">
        <is>
          <t>chai</t>
        </is>
      </c>
      <c r="E78" s="7">
        <v>20000</v>
      </c>
      <c r="F78" s="4" t="inlineStr">
        <is>
          <t>Mặt hàng kiêm vật tư</t>
        </is>
      </c>
      <c r="G78" s="4" t="inlineStr">
        <is>
          <t>BIA - NƯỚC NGỌT</t>
        </is>
      </c>
      <c r="H78" s="5">
        <f>COUNTIF('Anh_xa_Kho_Web'!$I$5:$I$57,B78)</f>
        <v>0</v>
      </c>
    </row>
    <row r="79">
      <c r="A79" s="5">
        <v>75</v>
      </c>
      <c r="B79" s="4" t="inlineStr">
        <is>
          <t>1100014</t>
        </is>
      </c>
      <c r="C79" s="4" t="inlineStr">
        <is>
          <t>Bia Budweiser</t>
        </is>
      </c>
      <c r="D79" s="4" t="inlineStr">
        <is>
          <t>Lon</t>
        </is>
      </c>
      <c r="E79" s="7">
        <v>55000</v>
      </c>
      <c r="F79" s="4" t="inlineStr">
        <is>
          <t>Mặt hàng kiêm vật tư</t>
        </is>
      </c>
      <c r="G79" s="4" t="inlineStr">
        <is>
          <t>BIA - NƯỚC NGỌT</t>
        </is>
      </c>
      <c r="H79" s="5">
        <f>COUNTIF('Anh_xa_Kho_Web'!$I$5:$I$57,B79)</f>
        <v>0</v>
      </c>
    </row>
    <row r="80">
      <c r="A80" s="5">
        <v>76</v>
      </c>
      <c r="B80" s="4" t="inlineStr">
        <is>
          <t>1100015</t>
        </is>
      </c>
      <c r="C80" s="4" t="inlineStr">
        <is>
          <t>Trà thảo mộc Wanglaoji 310ml</t>
        </is>
      </c>
      <c r="D80" s="4" t="inlineStr">
        <is>
          <t>Lon</t>
        </is>
      </c>
      <c r="E80" s="7">
        <v>25000</v>
      </c>
      <c r="F80" s="4" t="inlineStr">
        <is>
          <t>Mặt hàng kiêm vật tư</t>
        </is>
      </c>
      <c r="G80" s="4" t="inlineStr">
        <is>
          <t>BIA - NƯỚC NGỌT</t>
        </is>
      </c>
      <c r="H80" s="5">
        <f>COUNTIF('Anh_xa_Kho_Web'!$I$5:$I$57,B80)</f>
        <v>1</v>
      </c>
    </row>
    <row r="81">
      <c r="A81" s="5">
        <v>77</v>
      </c>
      <c r="B81" s="4" t="inlineStr">
        <is>
          <t>1100016</t>
        </is>
      </c>
      <c r="C81" s="4" t="inlineStr">
        <is>
          <t>Wewell Sâm Fansipan lon 200ml</t>
        </is>
      </c>
      <c r="D81" s="4" t="inlineStr">
        <is>
          <t>Lon</t>
        </is>
      </c>
      <c r="E81" s="7">
        <v>30000</v>
      </c>
      <c r="F81" s="4" t="inlineStr">
        <is>
          <t>Mặt hàng kiêm vật tư</t>
        </is>
      </c>
      <c r="G81" s="4" t="inlineStr">
        <is>
          <t>BIA - NƯỚC NGỌT</t>
        </is>
      </c>
      <c r="H81" s="5">
        <f>COUNTIF('Anh_xa_Kho_Web'!$I$5:$I$57,B81)</f>
        <v>0</v>
      </c>
    </row>
    <row r="82">
      <c r="A82" s="5">
        <v>78</v>
      </c>
      <c r="B82" s="4" t="inlineStr">
        <is>
          <t>1100017</t>
        </is>
      </c>
      <c r="C82" s="4" t="inlineStr">
        <is>
          <t>Nước suối Lavie 350ml</t>
        </is>
      </c>
      <c r="D82" s="4" t="inlineStr">
        <is>
          <t>chai</t>
        </is>
      </c>
      <c r="E82" s="7">
        <v>15000</v>
      </c>
      <c r="F82" s="4" t="inlineStr">
        <is>
          <t>Mặt hàng kiêm vật tư</t>
        </is>
      </c>
      <c r="G82" s="4" t="inlineStr">
        <is>
          <t>BIA - NƯỚC NGỌT</t>
        </is>
      </c>
      <c r="H82" s="5">
        <f>COUNTIF('Anh_xa_Kho_Web'!$I$5:$I$57,B82)</f>
        <v>1</v>
      </c>
    </row>
    <row r="83">
      <c r="A83" s="5">
        <v>79</v>
      </c>
      <c r="B83" s="4" t="inlineStr">
        <is>
          <t>1100018</t>
        </is>
      </c>
      <c r="C83" s="4" t="inlineStr">
        <is>
          <t>Bia chai Saigon Special 330ml</t>
        </is>
      </c>
      <c r="D83" s="4" t="inlineStr">
        <is>
          <t>chai</t>
        </is>
      </c>
      <c r="E83" s="7">
        <v>30000</v>
      </c>
      <c r="F83" s="4" t="inlineStr">
        <is>
          <t>Mặt hàng kiêm vật tư</t>
        </is>
      </c>
      <c r="G83" s="4" t="inlineStr">
        <is>
          <t>BIA - NƯỚC NGỌT</t>
        </is>
      </c>
      <c r="H83" s="5">
        <f>COUNTIF('Anh_xa_Kho_Web'!$I$5:$I$57,B83)</f>
        <v>1</v>
      </c>
    </row>
    <row r="84">
      <c r="A84" s="5">
        <v>80</v>
      </c>
      <c r="B84" s="4" t="inlineStr">
        <is>
          <t>1100019</t>
        </is>
      </c>
      <c r="C84" s="4" t="inlineStr">
        <is>
          <t>Bia Tiger Crystal</t>
        </is>
      </c>
      <c r="D84" s="4" t="inlineStr">
        <is>
          <t>chai</t>
        </is>
      </c>
      <c r="E84" s="7">
        <v>45000</v>
      </c>
      <c r="F84" s="4" t="inlineStr">
        <is>
          <t>Mặt hàng kiêm vật tư</t>
        </is>
      </c>
      <c r="G84" s="4" t="inlineStr">
        <is>
          <t>BIA - NƯỚC NGỌT</t>
        </is>
      </c>
      <c r="H84" s="5">
        <f>COUNTIF('Anh_xa_Kho_Web'!$I$5:$I$57,B84)</f>
        <v>1</v>
      </c>
    </row>
    <row r="85">
      <c r="A85" s="5">
        <v>81</v>
      </c>
      <c r="B85" s="4" t="inlineStr">
        <is>
          <t>1100020</t>
        </is>
      </c>
      <c r="C85" s="4" t="inlineStr">
        <is>
          <t>Nước yến Sanest lon</t>
        </is>
      </c>
      <c r="D85" s="4" t="inlineStr">
        <is>
          <t>Lon</t>
        </is>
      </c>
      <c r="E85" s="7">
        <v>30000</v>
      </c>
      <c r="F85" s="4" t="inlineStr">
        <is>
          <t>Mặt hàng kiêm vật tư</t>
        </is>
      </c>
      <c r="G85" s="4" t="inlineStr">
        <is>
          <t>BIA - NƯỚC NGỌT</t>
        </is>
      </c>
      <c r="H85" s="5">
        <f>COUNTIF('Anh_xa_Kho_Web'!$I$5:$I$57,B85)</f>
        <v>0</v>
      </c>
    </row>
    <row r="86">
      <c r="A86" s="5">
        <v>82</v>
      </c>
      <c r="B86" s="4" t="inlineStr">
        <is>
          <t>1100021</t>
        </is>
      </c>
      <c r="C86" s="4" t="inlineStr">
        <is>
          <t>Yến chưng</t>
        </is>
      </c>
      <c r="D86" s="4" t="inlineStr">
        <is>
          <t>Hũ</t>
        </is>
      </c>
      <c r="E86" s="7">
        <v>90000</v>
      </c>
      <c r="F86" s="4" t="inlineStr">
        <is>
          <t>Mặt hàng kiêm vật tư</t>
        </is>
      </c>
      <c r="G86" s="4" t="inlineStr">
        <is>
          <t>BIA - NƯỚC NGỌT</t>
        </is>
      </c>
      <c r="H86" s="5">
        <f>COUNTIF('Anh_xa_Kho_Web'!$I$5:$I$57,B86)</f>
        <v>1</v>
      </c>
    </row>
    <row r="87">
      <c r="A87" s="5">
        <v>83</v>
      </c>
      <c r="B87" s="4" t="inlineStr">
        <is>
          <t>1100022</t>
        </is>
      </c>
      <c r="C87" s="4" t="inlineStr">
        <is>
          <t>Bia Heineken</t>
        </is>
      </c>
      <c r="D87" s="4" t="inlineStr">
        <is>
          <t>Lon</t>
        </is>
      </c>
      <c r="E87" s="7">
        <v>45000</v>
      </c>
      <c r="F87" s="4" t="inlineStr">
        <is>
          <t>Mặt hàng kiêm vật tư</t>
        </is>
      </c>
      <c r="G87" s="4" t="inlineStr">
        <is>
          <t>BIA - NƯỚC NGỌT</t>
        </is>
      </c>
      <c r="H87" s="5">
        <f>COUNTIF('Anh_xa_Kho_Web'!$I$5:$I$57,B87)</f>
        <v>0</v>
      </c>
    </row>
    <row r="88">
      <c r="A88" s="5">
        <v>84</v>
      </c>
      <c r="B88" s="4" t="inlineStr">
        <is>
          <t>1100023</t>
        </is>
      </c>
      <c r="C88" s="4" t="inlineStr">
        <is>
          <t>Bia Hà Nội</t>
        </is>
      </c>
      <c r="D88" s="4" t="inlineStr">
        <is>
          <t>chai</t>
        </is>
      </c>
      <c r="E88" s="7">
        <v>30000</v>
      </c>
      <c r="F88" s="4" t="inlineStr">
        <is>
          <t>Mặt hàng kiêm vật tư</t>
        </is>
      </c>
      <c r="G88" s="4" t="inlineStr">
        <is>
          <t>BIA - NƯỚC NGỌT</t>
        </is>
      </c>
      <c r="H88" s="5">
        <f>COUNTIF('Anh_xa_Kho_Web'!$I$5:$I$57,B88)</f>
        <v>0</v>
      </c>
    </row>
    <row r="89">
      <c r="A89" s="5">
        <v>85</v>
      </c>
      <c r="B89" s="4" t="inlineStr">
        <is>
          <t>1100024</t>
        </is>
      </c>
      <c r="C89" s="4" t="inlineStr">
        <is>
          <t>Pepsi Lon 320</t>
        </is>
      </c>
      <c r="D89" s="4" t="inlineStr">
        <is>
          <t>Lon</t>
        </is>
      </c>
      <c r="E89" s="7">
        <v>20000</v>
      </c>
      <c r="F89" s="4" t="inlineStr">
        <is>
          <t>Mặt hàng kiêm vật tư</t>
        </is>
      </c>
      <c r="G89" s="4" t="inlineStr">
        <is>
          <t>BIA - NƯỚC NGỌT</t>
        </is>
      </c>
      <c r="H89" s="5">
        <f>COUNTIF('Anh_xa_Kho_Web'!$I$5:$I$57,B89)</f>
        <v>0</v>
      </c>
    </row>
    <row r="90">
      <c r="A90" s="5">
        <v>86</v>
      </c>
      <c r="B90" s="4" t="inlineStr">
        <is>
          <t>1100025</t>
        </is>
      </c>
      <c r="C90" s="4" t="inlineStr">
        <is>
          <t>Thức uống bổ sung ION POCARI SWEAT chai 350ML</t>
        </is>
      </c>
      <c r="D90" s="4" t="inlineStr">
        <is>
          <t>chai</t>
        </is>
      </c>
      <c r="E90" s="7">
        <v>30000</v>
      </c>
      <c r="F90" s="4" t="inlineStr">
        <is>
          <t>Mặt hàng kiêm vật tư</t>
        </is>
      </c>
      <c r="G90" s="4" t="inlineStr">
        <is>
          <t>BIA - NƯỚC NGỌT</t>
        </is>
      </c>
      <c r="H90" s="5">
        <f>COUNTIF('Anh_xa_Kho_Web'!$I$5:$I$57,B90)</f>
        <v>1</v>
      </c>
    </row>
    <row r="91">
      <c r="A91" s="5">
        <v>87</v>
      </c>
      <c r="B91" s="4" t="inlineStr">
        <is>
          <t>1100026</t>
        </is>
      </c>
      <c r="C91" s="4" t="inlineStr">
        <is>
          <t>NƯỚC STC VQUẤT THTRUEJUICEMILK 300MLX24</t>
        </is>
      </c>
      <c r="D91" s="4" t="inlineStr">
        <is>
          <t>chai</t>
        </is>
      </c>
      <c r="E91" s="7">
        <v>30000</v>
      </c>
      <c r="F91" s="4" t="inlineStr">
        <is>
          <t>Mặt hàng kiêm vật tư</t>
        </is>
      </c>
      <c r="G91" s="4" t="inlineStr">
        <is>
          <t>BIA - NƯỚC NGỌT</t>
        </is>
      </c>
      <c r="H91" s="5">
        <f>COUNTIF('Anh_xa_Kho_Web'!$I$5:$I$57,B91)</f>
        <v>0</v>
      </c>
    </row>
    <row r="92">
      <c r="A92" s="5">
        <v>88</v>
      </c>
      <c r="B92" s="4" t="inlineStr">
        <is>
          <t>1100027</t>
        </is>
      </c>
      <c r="C92" s="4" t="inlineStr">
        <is>
          <t>Nước ION kiềm OFAN 350ml</t>
        </is>
      </c>
      <c r="D92" s="4" t="inlineStr">
        <is>
          <t>chai</t>
        </is>
      </c>
      <c r="E92" s="7">
        <v>15000</v>
      </c>
      <c r="F92" s="4" t="inlineStr">
        <is>
          <t>Mặt hàng kiêm vật tư</t>
        </is>
      </c>
      <c r="G92" s="4" t="inlineStr">
        <is>
          <t>BIA - NƯỚC NGỌT</t>
        </is>
      </c>
      <c r="H92" s="5">
        <f>COUNTIF('Anh_xa_Kho_Web'!$I$5:$I$57,B92)</f>
        <v>1</v>
      </c>
    </row>
    <row r="93">
      <c r="A93" s="5">
        <v>89</v>
      </c>
      <c r="B93" s="4" t="inlineStr">
        <is>
          <t>1100028</t>
        </is>
      </c>
      <c r="C93" s="4" t="inlineStr">
        <is>
          <t>Nước uống ion kiềm IONVie, 350ml</t>
        </is>
      </c>
      <c r="D93" s="4" t="inlineStr">
        <is>
          <t>chai</t>
        </is>
      </c>
      <c r="E93" s="7">
        <v>15000</v>
      </c>
      <c r="F93" s="4" t="inlineStr">
        <is>
          <t>Mặt hàng kiêm vật tư</t>
        </is>
      </c>
      <c r="G93" s="4" t="inlineStr">
        <is>
          <t>BIA - NƯỚC NGỌT</t>
        </is>
      </c>
      <c r="H93" s="5">
        <f>COUNTIF('Anh_xa_Kho_Web'!$I$5:$I$57,B93)</f>
        <v>1</v>
      </c>
    </row>
    <row r="94">
      <c r="A94" s="5">
        <v>90</v>
      </c>
      <c r="B94" s="4" t="inlineStr">
        <is>
          <t>1100029</t>
        </is>
      </c>
      <c r="C94" s="4" t="inlineStr">
        <is>
          <t>Nước uống ion kiềm IONVie, 500ml</t>
        </is>
      </c>
      <c r="D94" s="4" t="inlineStr">
        <is>
          <t>chai</t>
        </is>
      </c>
      <c r="E94" s="7">
        <v>25000</v>
      </c>
      <c r="F94" s="4" t="inlineStr">
        <is>
          <t>Mặt hàng kiêm vật tư</t>
        </is>
      </c>
      <c r="G94" s="4" t="inlineStr">
        <is>
          <t>BIA - NƯỚC NGỌT</t>
        </is>
      </c>
      <c r="H94" s="5">
        <f>COUNTIF('Anh_xa_Kho_Web'!$I$5:$I$57,B94)</f>
        <v>2</v>
      </c>
    </row>
    <row r="95">
      <c r="A95" s="5">
        <v>91</v>
      </c>
      <c r="B95" s="4" t="inlineStr">
        <is>
          <t>1100030</t>
        </is>
      </c>
      <c r="C95" s="4" t="inlineStr">
        <is>
          <t>Trà đào sả (Nhãn hiệu Cozy) (320ml)</t>
        </is>
      </c>
      <c r="D95" s="4" t="inlineStr">
        <is>
          <t>Lon</t>
        </is>
      </c>
      <c r="E95" s="7">
        <v>40000</v>
      </c>
      <c r="F95" s="4" t="inlineStr">
        <is>
          <t>Mặt hàng kiêm vật tư</t>
        </is>
      </c>
      <c r="G95" s="4" t="inlineStr">
        <is>
          <t>BIA - NƯỚC NGỌT</t>
        </is>
      </c>
      <c r="H95" s="5">
        <f>COUNTIF('Anh_xa_Kho_Web'!$I$5:$I$57,B95)</f>
        <v>1</v>
      </c>
    </row>
    <row r="96">
      <c r="A96" s="5">
        <v>92</v>
      </c>
      <c r="B96" s="4" t="inlineStr">
        <is>
          <t>1200001</t>
        </is>
      </c>
      <c r="C96" s="4" t="inlineStr">
        <is>
          <t>BÌNH RÓT BIA</t>
        </is>
      </c>
      <c r="D96" s="4" t="inlineStr">
        <is>
          <t>Cái</t>
        </is>
      </c>
      <c r="E96" s="7">
        <v>250000</v>
      </c>
      <c r="F96" s="4" t="inlineStr">
        <is>
          <t>Mặt hàng kiêm vật tư</t>
        </is>
      </c>
      <c r="G96" s="4" t="inlineStr">
        <is>
          <t>PHUPHI</t>
        </is>
      </c>
      <c r="H96" s="5">
        <f>COUNTIF('Anh_xa_Kho_Web'!$I$5:$I$57,B96)</f>
        <v>0</v>
      </c>
    </row>
    <row r="97">
      <c r="A97" s="5">
        <v>93</v>
      </c>
      <c r="B97" s="4" t="inlineStr">
        <is>
          <t>1200002</t>
        </is>
      </c>
      <c r="C97" s="4" t="inlineStr">
        <is>
          <t>BÌNH SHISA</t>
        </is>
      </c>
      <c r="D97" s="4" t="inlineStr">
        <is>
          <t>Cái</t>
        </is>
      </c>
      <c r="E97" s="7">
        <v>1500000</v>
      </c>
      <c r="F97" s="4" t="inlineStr">
        <is>
          <t>Mặt hàng kiêm vật tư</t>
        </is>
      </c>
      <c r="G97" s="4" t="inlineStr">
        <is>
          <t>PHUPHI</t>
        </is>
      </c>
      <c r="H97" s="5">
        <f>COUNTIF('Anh_xa_Kho_Web'!$I$5:$I$57,B97)</f>
        <v>0</v>
      </c>
    </row>
    <row r="98">
      <c r="A98" s="5">
        <v>94</v>
      </c>
      <c r="B98" s="4" t="inlineStr">
        <is>
          <t>1200003</t>
        </is>
      </c>
      <c r="C98" s="4" t="inlineStr">
        <is>
          <t>CHEN DUNG SHISA</t>
        </is>
      </c>
      <c r="D98" s="4" t="inlineStr">
        <is>
          <t>ly</t>
        </is>
      </c>
      <c r="E98" s="7">
        <v>100000</v>
      </c>
      <c r="F98" s="4" t="inlineStr">
        <is>
          <t>Mặt hàng kiêm vật tư</t>
        </is>
      </c>
      <c r="G98" s="4" t="inlineStr">
        <is>
          <t>PHUPHI</t>
        </is>
      </c>
      <c r="H98" s="5">
        <f>COUNTIF('Anh_xa_Kho_Web'!$I$5:$I$57,B98)</f>
        <v>0</v>
      </c>
    </row>
    <row r="99">
      <c r="A99" s="5">
        <v>95</v>
      </c>
      <c r="B99" s="4" t="inlineStr">
        <is>
          <t>1200004</t>
        </is>
      </c>
      <c r="C99" s="4" t="inlineStr">
        <is>
          <t>CỐC</t>
        </is>
      </c>
      <c r="D99" s="4" t="inlineStr">
        <is>
          <t>Cái</t>
        </is>
      </c>
      <c r="E99" s="7">
        <v>25000</v>
      </c>
      <c r="F99" s="4" t="inlineStr">
        <is>
          <t>Mặt hàng kiêm vật tư</t>
        </is>
      </c>
      <c r="G99" s="4" t="inlineStr">
        <is>
          <t>PHUPHI</t>
        </is>
      </c>
      <c r="H99" s="5">
        <f>COUNTIF('Anh_xa_Kho_Web'!$I$5:$I$57,B99)</f>
        <v>0</v>
      </c>
    </row>
    <row r="100">
      <c r="A100" s="5">
        <v>96</v>
      </c>
      <c r="B100" s="4" t="inlineStr">
        <is>
          <t>1200005</t>
        </is>
      </c>
      <c r="C100" s="4" t="inlineStr">
        <is>
          <t>ĐĨA VỠ</t>
        </is>
      </c>
      <c r="D100" s="4" t="inlineStr">
        <is>
          <t>Cái</t>
        </is>
      </c>
      <c r="E100" s="7">
        <v>500000</v>
      </c>
      <c r="F100" s="4" t="inlineStr">
        <is>
          <t>Mặt hàng kiêm vật tư</t>
        </is>
      </c>
      <c r="G100" s="4" t="inlineStr">
        <is>
          <t>PHUPHI</t>
        </is>
      </c>
      <c r="H100" s="5">
        <f>COUNTIF('Anh_xa_Kho_Web'!$I$5:$I$57,B100)</f>
        <v>0</v>
      </c>
    </row>
    <row r="101">
      <c r="A101" s="5">
        <v>97</v>
      </c>
      <c r="B101" s="4" t="inlineStr">
        <is>
          <t>1200006</t>
        </is>
      </c>
      <c r="C101" s="4" t="inlineStr">
        <is>
          <t>LY</t>
        </is>
      </c>
      <c r="D101" s="4" t="inlineStr">
        <is>
          <t>Cái</t>
        </is>
      </c>
      <c r="E101" s="7">
        <v>40000</v>
      </c>
      <c r="F101" s="4" t="inlineStr">
        <is>
          <t>Mặt hàng kiêm vật tư</t>
        </is>
      </c>
      <c r="G101" s="4" t="inlineStr">
        <is>
          <t>PHUPHI</t>
        </is>
      </c>
      <c r="H101" s="5">
        <f>COUNTIF('Anh_xa_Kho_Web'!$I$5:$I$57,B101)</f>
        <v>0</v>
      </c>
    </row>
    <row r="102">
      <c r="A102" s="5">
        <v>98</v>
      </c>
      <c r="B102" s="4" t="inlineStr">
        <is>
          <t>1200007</t>
        </is>
      </c>
      <c r="C102" s="4" t="inlineStr">
        <is>
          <t>PHÍ ĐỒ ĂN</t>
        </is>
      </c>
      <c r="D102" s="4" t="inlineStr">
        <is>
          <t>lần</t>
        </is>
      </c>
      <c r="E102" s="7">
        <v>150000</v>
      </c>
      <c r="F102" s="4" t="inlineStr">
        <is>
          <t>Dịch vụ</t>
        </is>
      </c>
      <c r="G102" s="4" t="inlineStr">
        <is>
          <t>PHUPHI</t>
        </is>
      </c>
      <c r="H102" s="5">
        <f>COUNTIF('Anh_xa_Kho_Web'!$I$5:$I$57,B102)</f>
        <v>0</v>
      </c>
    </row>
    <row r="103">
      <c r="A103" s="5">
        <v>99</v>
      </c>
      <c r="B103" s="4" t="inlineStr">
        <is>
          <t>1200008</t>
        </is>
      </c>
      <c r="C103" s="4" t="inlineStr">
        <is>
          <t>PHÍ ĐỒ ĂN NGOÀI</t>
        </is>
      </c>
      <c r="D103" s="4" t="inlineStr">
        <is>
          <t>đĩa</t>
        </is>
      </c>
      <c r="E103" s="7">
        <v>200000</v>
      </c>
      <c r="F103" s="4" t="inlineStr">
        <is>
          <t>Mặt hàng kiêm vật tư</t>
        </is>
      </c>
      <c r="G103" s="4" t="inlineStr">
        <is>
          <t>PHUPHI</t>
        </is>
      </c>
      <c r="H103" s="5">
        <f>COUNTIF('Anh_xa_Kho_Web'!$I$5:$I$57,B103)</f>
        <v>0</v>
      </c>
    </row>
    <row r="104">
      <c r="A104" s="5">
        <v>100</v>
      </c>
      <c r="B104" s="4" t="inlineStr">
        <is>
          <t>1200009</t>
        </is>
      </c>
      <c r="C104" s="4" t="inlineStr">
        <is>
          <t>PHÍ RƯỢU</t>
        </is>
      </c>
      <c r="D104" s="4" t="inlineStr">
        <is>
          <t>Dịch vụ</t>
        </is>
      </c>
      <c r="E104" s="7">
        <v>500000</v>
      </c>
      <c r="F104" s="4" t="inlineStr">
        <is>
          <t>Mặt hàng kiêm vật tư</t>
        </is>
      </c>
      <c r="G104" s="4" t="inlineStr">
        <is>
          <t>PHUPHI</t>
        </is>
      </c>
      <c r="H104" s="5">
        <f>COUNTIF('Anh_xa_Kho_Web'!$I$5:$I$57,B104)</f>
        <v>0</v>
      </c>
    </row>
    <row r="105">
      <c r="A105" s="5">
        <v>101</v>
      </c>
      <c r="B105" s="4" t="inlineStr">
        <is>
          <t>1200010</t>
        </is>
      </c>
      <c r="C105" s="4" t="inlineStr">
        <is>
          <t>PHÍ RƯỢU MẠNH</t>
        </is>
      </c>
      <c r="D105" s="4" t="inlineStr">
        <is>
          <t>chai</t>
        </is>
      </c>
      <c r="E105" s="7">
        <v>1000000</v>
      </c>
      <c r="F105" s="4" t="inlineStr">
        <is>
          <t>Dịch vụ</t>
        </is>
      </c>
      <c r="G105" s="4" t="inlineStr">
        <is>
          <t>PHUPHI</t>
        </is>
      </c>
      <c r="H105" s="5">
        <f>COUNTIF('Anh_xa_Kho_Web'!$I$5:$I$57,B105)</f>
        <v>0</v>
      </c>
    </row>
    <row r="106">
      <c r="A106" s="5">
        <v>102</v>
      </c>
      <c r="B106" s="4" t="inlineStr">
        <is>
          <t>1200011</t>
        </is>
      </c>
      <c r="C106" s="4" t="inlineStr">
        <is>
          <t>PHÍ RƯỢU VANG</t>
        </is>
      </c>
      <c r="D106" s="4" t="inlineStr">
        <is>
          <t>chai</t>
        </is>
      </c>
      <c r="E106" s="7">
        <v>450000</v>
      </c>
      <c r="F106" s="4" t="inlineStr">
        <is>
          <t>Dịch vụ</t>
        </is>
      </c>
      <c r="G106" s="4" t="inlineStr">
        <is>
          <t>PHUPHI</t>
        </is>
      </c>
      <c r="H106" s="5">
        <f>COUNTIF('Anh_xa_Kho_Web'!$I$5:$I$57,B106)</f>
        <v>0</v>
      </c>
    </row>
    <row r="107">
      <c r="A107" s="5">
        <v>103</v>
      </c>
      <c r="B107" s="4" t="inlineStr">
        <is>
          <t>1300001</t>
        </is>
      </c>
      <c r="C107" s="4" t="inlineStr">
        <is>
          <t>CHIVAS 18</t>
        </is>
      </c>
      <c r="D107" s="4" t="inlineStr">
        <is>
          <t>chai</t>
        </is>
      </c>
      <c r="E107" s="7">
        <v>2600000</v>
      </c>
      <c r="F107" s="4" t="inlineStr">
        <is>
          <t>Mặt hàng kiêm vật tư</t>
        </is>
      </c>
      <c r="G107" s="4" t="inlineStr">
        <is>
          <t>RUOU - VANG</t>
        </is>
      </c>
      <c r="H107" s="5">
        <f>COUNTIF('Anh_xa_Kho_Web'!$I$5:$I$57,B107)</f>
        <v>0</v>
      </c>
    </row>
    <row r="108">
      <c r="A108" s="5">
        <v>104</v>
      </c>
      <c r="B108" s="4" t="inlineStr">
        <is>
          <t>1300002</t>
        </is>
      </c>
      <c r="C108" s="4" t="inlineStr">
        <is>
          <t>CHIVAS 25</t>
        </is>
      </c>
      <c r="D108" s="4" t="inlineStr">
        <is>
          <t>chai</t>
        </is>
      </c>
      <c r="E108" s="7">
        <v>10500000</v>
      </c>
      <c r="F108" s="4" t="inlineStr">
        <is>
          <t>Mặt hàng kiêm vật tư</t>
        </is>
      </c>
      <c r="G108" s="4" t="inlineStr">
        <is>
          <t>RUOU - VANG</t>
        </is>
      </c>
      <c r="H108" s="5">
        <f>COUNTIF('Anh_xa_Kho_Web'!$I$5:$I$57,B108)</f>
        <v>0</v>
      </c>
    </row>
    <row r="109">
      <c r="A109" s="5">
        <v>105</v>
      </c>
      <c r="B109" s="4" t="inlineStr">
        <is>
          <t>1300003</t>
        </is>
      </c>
      <c r="C109" s="4" t="inlineStr">
        <is>
          <t>MACCALLAN 12</t>
        </is>
      </c>
      <c r="D109" s="4" t="inlineStr">
        <is>
          <t>chai</t>
        </is>
      </c>
      <c r="E109" s="7">
        <v>3800000</v>
      </c>
      <c r="F109" s="4" t="inlineStr">
        <is>
          <t>Mặt hàng kiêm vật tư</t>
        </is>
      </c>
      <c r="G109" s="4" t="inlineStr">
        <is>
          <t>RUOU - VANG</t>
        </is>
      </c>
      <c r="H109" s="5">
        <f>COUNTIF('Anh_xa_Kho_Web'!$I$5:$I$57,B109)</f>
        <v>0</v>
      </c>
    </row>
    <row r="110">
      <c r="A110" s="5">
        <v>106</v>
      </c>
      <c r="B110" s="4" t="inlineStr">
        <is>
          <t>1300004</t>
        </is>
      </c>
      <c r="C110" s="4" t="inlineStr">
        <is>
          <t>MACCALLAN 18</t>
        </is>
      </c>
      <c r="D110" s="4" t="inlineStr">
        <is>
          <t>chai</t>
        </is>
      </c>
      <c r="E110" s="7">
        <v>13500000</v>
      </c>
      <c r="F110" s="4" t="inlineStr">
        <is>
          <t>Mặt hàng kiêm vật tư</t>
        </is>
      </c>
      <c r="G110" s="4" t="inlineStr">
        <is>
          <t>RUOU - VANG</t>
        </is>
      </c>
      <c r="H110" s="5">
        <f>COUNTIF('Anh_xa_Kho_Web'!$I$5:$I$57,B110)</f>
        <v>0</v>
      </c>
    </row>
    <row r="111">
      <c r="A111" s="5">
        <v>107</v>
      </c>
      <c r="B111" s="4" t="inlineStr">
        <is>
          <t>1300005</t>
        </is>
      </c>
      <c r="C111" s="4" t="inlineStr">
        <is>
          <t>MACCALLAN 1824 GOLD</t>
        </is>
      </c>
      <c r="D111" s="4" t="inlineStr">
        <is>
          <t>chai</t>
        </is>
      </c>
      <c r="E111" s="7">
        <v>5500000</v>
      </c>
      <c r="F111" s="4" t="inlineStr">
        <is>
          <t>Mặt hàng kiêm vật tư</t>
        </is>
      </c>
      <c r="G111" s="4" t="inlineStr">
        <is>
          <t>RUOU - VANG</t>
        </is>
      </c>
      <c r="H111" s="5">
        <f>COUNTIF('Anh_xa_Kho_Web'!$I$5:$I$57,B111)</f>
        <v>0</v>
      </c>
    </row>
    <row r="112">
      <c r="A112" s="5">
        <v>108</v>
      </c>
      <c r="B112" s="4" t="inlineStr">
        <is>
          <t>1300006</t>
        </is>
      </c>
      <c r="C112" s="4" t="inlineStr">
        <is>
          <t>VANG 68</t>
        </is>
      </c>
      <c r="D112" s="4" t="inlineStr">
        <is>
          <t>chai</t>
        </is>
      </c>
      <c r="E112" s="7">
        <v>2500000</v>
      </c>
      <c r="F112" s="4" t="inlineStr">
        <is>
          <t>Mặt hàng kiêm vật tư</t>
        </is>
      </c>
      <c r="G112" s="4" t="inlineStr">
        <is>
          <t>RUOU - VANG</t>
        </is>
      </c>
      <c r="H112" s="5">
        <f>COUNTIF('Anh_xa_Kho_Web'!$I$5:$I$57,B112)</f>
        <v>0</v>
      </c>
    </row>
    <row r="113">
      <c r="A113" s="5">
        <v>109</v>
      </c>
      <c r="B113" s="4" t="inlineStr">
        <is>
          <t>1300007</t>
        </is>
      </c>
      <c r="C113" s="4" t="inlineStr">
        <is>
          <t>VANG ABRUZZO</t>
        </is>
      </c>
      <c r="D113" s="4" t="inlineStr">
        <is>
          <t>chai</t>
        </is>
      </c>
      <c r="E113" s="7">
        <v>2500000</v>
      </c>
      <c r="F113" s="4" t="inlineStr">
        <is>
          <t>Mặt hàng kiêm vật tư</t>
        </is>
      </c>
      <c r="G113" s="4" t="inlineStr">
        <is>
          <t>RUOU - VANG</t>
        </is>
      </c>
      <c r="H113" s="5">
        <f>COUNTIF('Anh_xa_Kho_Web'!$I$5:$I$57,B113)</f>
        <v>0</v>
      </c>
    </row>
    <row r="114">
      <c r="A114" s="5">
        <v>110</v>
      </c>
      <c r="B114" s="4" t="inlineStr">
        <is>
          <t>1300008</t>
        </is>
      </c>
      <c r="C114" s="4" t="inlineStr">
        <is>
          <t>VANG AMARANTA</t>
        </is>
      </c>
      <c r="D114" s="4" t="inlineStr">
        <is>
          <t>chai</t>
        </is>
      </c>
      <c r="E114" s="7">
        <v>2500000</v>
      </c>
      <c r="F114" s="4" t="inlineStr">
        <is>
          <t>Mặt hàng kiêm vật tư</t>
        </is>
      </c>
      <c r="G114" s="4" t="inlineStr">
        <is>
          <t>RUOU - VANG</t>
        </is>
      </c>
      <c r="H114" s="5">
        <f>COUNTIF('Anh_xa_Kho_Web'!$I$5:$I$57,B114)</f>
        <v>0</v>
      </c>
    </row>
    <row r="115">
      <c r="A115" s="5">
        <v>111</v>
      </c>
      <c r="B115" s="4" t="inlineStr">
        <is>
          <t>1300009</t>
        </is>
      </c>
      <c r="C115" s="4" t="inlineStr">
        <is>
          <t>VANG COROLINA</t>
        </is>
      </c>
      <c r="D115" s="4" t="inlineStr">
        <is>
          <t>chai</t>
        </is>
      </c>
      <c r="E115" s="7">
        <v>750000</v>
      </c>
      <c r="F115" s="4" t="inlineStr">
        <is>
          <t>Mặt hàng kiêm vật tư</t>
        </is>
      </c>
      <c r="G115" s="4" t="inlineStr">
        <is>
          <t>RUOU - VANG</t>
        </is>
      </c>
      <c r="H115" s="5">
        <f>COUNTIF('Anh_xa_Kho_Web'!$I$5:$I$57,B115)</f>
        <v>0</v>
      </c>
    </row>
    <row r="116">
      <c r="A116" s="5">
        <v>112</v>
      </c>
      <c r="B116" s="4" t="inlineStr">
        <is>
          <t>1300010</t>
        </is>
      </c>
      <c r="C116" s="4" t="inlineStr">
        <is>
          <t>VANG IK88</t>
        </is>
      </c>
      <c r="D116" s="4" t="inlineStr">
        <is>
          <t>chai</t>
        </is>
      </c>
      <c r="E116" s="7">
        <v>2500000</v>
      </c>
      <c r="F116" s="4" t="inlineStr">
        <is>
          <t>Mặt hàng kiêm vật tư</t>
        </is>
      </c>
      <c r="G116" s="4" t="inlineStr">
        <is>
          <t>RUOU - VANG</t>
        </is>
      </c>
      <c r="H116" s="5">
        <f>COUNTIF('Anh_xa_Kho_Web'!$I$5:$I$57,B116)</f>
        <v>0</v>
      </c>
    </row>
    <row r="117">
      <c r="A117" s="5">
        <v>113</v>
      </c>
      <c r="B117" s="4" t="inlineStr">
        <is>
          <t>1300011</t>
        </is>
      </c>
      <c r="C117" s="4" t="inlineStr">
        <is>
          <t>VANG PECORINO</t>
        </is>
      </c>
      <c r="D117" s="4" t="inlineStr">
        <is>
          <t>chai</t>
        </is>
      </c>
      <c r="E117" s="7">
        <v>2200000</v>
      </c>
      <c r="F117" s="4" t="inlineStr">
        <is>
          <t>Mặt hàng kiêm vật tư</t>
        </is>
      </c>
      <c r="G117" s="4" t="inlineStr">
        <is>
          <t>RUOU - VANG</t>
        </is>
      </c>
      <c r="H117" s="5">
        <f>COUNTIF('Anh_xa_Kho_Web'!$I$5:$I$57,B117)</f>
        <v>0</v>
      </c>
    </row>
    <row r="118">
      <c r="A118" s="5">
        <v>114</v>
      </c>
      <c r="B118" s="4" t="inlineStr">
        <is>
          <t>1300012</t>
        </is>
      </c>
      <c r="C118" s="4" t="inlineStr">
        <is>
          <t>Rượu vang đỏ Domaine Haute Brande 750ml</t>
        </is>
      </c>
      <c r="D118" s="4" t="inlineStr">
        <is>
          <t>chai</t>
        </is>
      </c>
      <c r="E118" s="7">
        <v>750000</v>
      </c>
      <c r="F118" s="4" t="inlineStr">
        <is>
          <t>Mặt hàng kiêm vật tư</t>
        </is>
      </c>
      <c r="G118" s="4" t="inlineStr">
        <is>
          <t>RUOU - VANG</t>
        </is>
      </c>
      <c r="H118" s="5">
        <f>COUNTIF('Anh_xa_Kho_Web'!$I$5:$I$57,B118)</f>
        <v>0</v>
      </c>
    </row>
    <row r="119">
      <c r="A119" s="5">
        <v>115</v>
      </c>
      <c r="B119" s="4" t="inlineStr">
        <is>
          <t>1300013</t>
        </is>
      </c>
      <c r="C119" s="4" t="inlineStr">
        <is>
          <t>Rượu vang đỏ Luccarelli Negroamaro 750ml</t>
        </is>
      </c>
      <c r="D119" s="4" t="inlineStr">
        <is>
          <t>chai</t>
        </is>
      </c>
      <c r="E119" s="7">
        <v>650000</v>
      </c>
      <c r="F119" s="4" t="inlineStr">
        <is>
          <t>Mặt hàng kiêm vật tư</t>
        </is>
      </c>
      <c r="G119" s="4" t="inlineStr">
        <is>
          <t>RUOU - VANG</t>
        </is>
      </c>
      <c r="H119" s="5">
        <f>COUNTIF('Anh_xa_Kho_Web'!$I$5:$I$57,B119)</f>
        <v>1</v>
      </c>
    </row>
    <row r="120">
      <c r="A120" s="5">
        <v>116</v>
      </c>
      <c r="B120" s="4" t="inlineStr">
        <is>
          <t>1400001</t>
        </is>
      </c>
      <c r="C120" s="4" t="inlineStr">
        <is>
          <t>CIGAR COHIBA SIGLO VI</t>
        </is>
      </c>
      <c r="D120" s="4" t="inlineStr">
        <is>
          <t>điếu</t>
        </is>
      </c>
      <c r="E120" s="7">
        <v>1900000</v>
      </c>
      <c r="F120" s="4" t="inlineStr">
        <is>
          <t>Mặt hàng kiêm vật tư</t>
        </is>
      </c>
      <c r="G120" s="4" t="inlineStr">
        <is>
          <t>THUOCLA - SHISA - XIGA</t>
        </is>
      </c>
      <c r="H120" s="5">
        <f>COUNTIF('Anh_xa_Kho_Web'!$I$5:$I$57,B120)</f>
        <v>0</v>
      </c>
    </row>
    <row r="121">
      <c r="A121" s="5">
        <v>117</v>
      </c>
      <c r="B121" s="4" t="inlineStr">
        <is>
          <t>1400002</t>
        </is>
      </c>
      <c r="C121" s="4" t="inlineStr">
        <is>
          <t>CIGAR JULIETA</t>
        </is>
      </c>
      <c r="D121" s="4" t="inlineStr">
        <is>
          <t>điếu</t>
        </is>
      </c>
      <c r="E121" s="7">
        <v>900000</v>
      </c>
      <c r="F121" s="4" t="inlineStr">
        <is>
          <t>Mặt hàng kiêm vật tư</t>
        </is>
      </c>
      <c r="G121" s="4" t="inlineStr">
        <is>
          <t>THUOCLA - SHISA - XIGA</t>
        </is>
      </c>
      <c r="H121" s="5">
        <f>COUNTIF('Anh_xa_Kho_Web'!$I$5:$I$57,B121)</f>
        <v>0</v>
      </c>
    </row>
    <row r="122">
      <c r="A122" s="5">
        <v>118</v>
      </c>
      <c r="B122" s="4" t="inlineStr">
        <is>
          <t>1400003</t>
        </is>
      </c>
      <c r="C122" s="4" t="inlineStr">
        <is>
          <t>CIGAR VIP</t>
        </is>
      </c>
      <c r="D122" s="4" t="inlineStr">
        <is>
          <t>điếu</t>
        </is>
      </c>
      <c r="E122" s="7">
        <v>3500000</v>
      </c>
      <c r="F122" s="4" t="inlineStr">
        <is>
          <t>Mặt hàng kiêm vật tư</t>
        </is>
      </c>
      <c r="G122" s="4" t="inlineStr">
        <is>
          <t>THUOCLA - SHISA - XIGA</t>
        </is>
      </c>
      <c r="H122" s="5">
        <f>COUNTIF('Anh_xa_Kho_Web'!$I$5:$I$57,B122)</f>
        <v>0</v>
      </c>
    </row>
    <row r="123">
      <c r="A123" s="5">
        <v>119</v>
      </c>
      <c r="B123" s="4" t="inlineStr">
        <is>
          <t>1400004</t>
        </is>
      </c>
      <c r="C123" s="4" t="inlineStr">
        <is>
          <t>CIGAR VIP LẺ</t>
        </is>
      </c>
      <c r="D123" s="4" t="inlineStr">
        <is>
          <t>quả</t>
        </is>
      </c>
      <c r="E123" s="7">
        <v>200000</v>
      </c>
      <c r="F123" s="4" t="inlineStr">
        <is>
          <t>Mặt hàng kiêm vật tư</t>
        </is>
      </c>
      <c r="G123" s="4" t="inlineStr">
        <is>
          <t>THUOCLA - SHISA - XIGA</t>
        </is>
      </c>
      <c r="H123" s="5">
        <f>COUNTIF('Anh_xa_Kho_Web'!$I$5:$I$57,B123)</f>
        <v>0</v>
      </c>
    </row>
    <row r="124">
      <c r="A124" s="5">
        <v>120</v>
      </c>
      <c r="B124" s="4" t="inlineStr">
        <is>
          <t>1400005</t>
        </is>
      </c>
      <c r="C124" s="4" t="inlineStr">
        <is>
          <t>SHISA</t>
        </is>
      </c>
      <c r="D124" s="4" t="inlineStr">
        <is>
          <t>bình</t>
        </is>
      </c>
      <c r="E124" s="7">
        <v>300000</v>
      </c>
      <c r="F124" s="4" t="inlineStr">
        <is>
          <t>Mặt hàng kiêm vật tư</t>
        </is>
      </c>
      <c r="G124" s="4" t="inlineStr">
        <is>
          <t>THUOCLA - SHISA - XIGA</t>
        </is>
      </c>
      <c r="H124" s="5">
        <f>COUNTIF('Anh_xa_Kho_Web'!$I$5:$I$57,B124)</f>
        <v>0</v>
      </c>
    </row>
    <row r="125">
      <c r="A125" s="5">
        <v>121</v>
      </c>
      <c r="B125" s="4" t="inlineStr">
        <is>
          <t>1400006</t>
        </is>
      </c>
      <c r="C125" s="4" t="inlineStr">
        <is>
          <t>THAY THUỐC SHISA</t>
        </is>
      </c>
      <c r="D125" s="4" t="inlineStr">
        <is>
          <t>lần</t>
        </is>
      </c>
      <c r="E125" s="7">
        <v>150000</v>
      </c>
      <c r="F125" s="4" t="inlineStr">
        <is>
          <t>Mặt hàng kiêm vật tư</t>
        </is>
      </c>
      <c r="G125" s="4" t="inlineStr">
        <is>
          <t>THUOCLA - SHISA - XIGA</t>
        </is>
      </c>
      <c r="H125" s="5">
        <f>COUNTIF('Anh_xa_Kho_Web'!$I$5:$I$57,B125)</f>
        <v>0</v>
      </c>
    </row>
    <row r="126">
      <c r="A126" s="5">
        <v>122</v>
      </c>
      <c r="B126" s="4" t="inlineStr">
        <is>
          <t>1400007</t>
        </is>
      </c>
      <c r="C126" s="4" t="inlineStr">
        <is>
          <t>THUỐC LÁ 555</t>
        </is>
      </c>
      <c r="D126" s="4" t="inlineStr">
        <is>
          <t>bao</t>
        </is>
      </c>
      <c r="E126" s="7">
        <v>80000</v>
      </c>
      <c r="F126" s="4" t="inlineStr">
        <is>
          <t>Mặt hàng kiêm vật tư</t>
        </is>
      </c>
      <c r="G126" s="4" t="inlineStr">
        <is>
          <t>THUOCLA - SHISA - XIGA</t>
        </is>
      </c>
      <c r="H126" s="5">
        <f>COUNTIF('Anh_xa_Kho_Web'!$I$5:$I$57,B126)</f>
        <v>6</v>
      </c>
    </row>
    <row r="127">
      <c r="A127" s="5">
        <v>123</v>
      </c>
      <c r="B127" s="4" t="inlineStr">
        <is>
          <t>1400008</t>
        </is>
      </c>
      <c r="C127" s="4" t="inlineStr">
        <is>
          <t>THUOC LA MAN</t>
        </is>
      </c>
      <c r="D127" s="4" t="inlineStr">
        <is>
          <t>gói</t>
        </is>
      </c>
      <c r="E127" s="7">
        <v>90000</v>
      </c>
      <c r="F127" s="4" t="inlineStr">
        <is>
          <t>Mặt hàng kiêm vật tư</t>
        </is>
      </c>
      <c r="G127" s="4" t="inlineStr">
        <is>
          <t>THUOCLA - SHISA - XIGA</t>
        </is>
      </c>
      <c r="H127" s="5">
        <f>COUNTIF('Anh_xa_Kho_Web'!$I$5:$I$57,B127)</f>
        <v>0</v>
      </c>
    </row>
    <row r="128">
      <c r="A128" s="5">
        <v>124</v>
      </c>
      <c r="B128" s="4" t="inlineStr">
        <is>
          <t>1400009</t>
        </is>
      </c>
      <c r="C128" s="4" t="inlineStr">
        <is>
          <t>THUỐC LÁ VIP</t>
        </is>
      </c>
      <c r="D128" s="4" t="inlineStr">
        <is>
          <t>Cái</t>
        </is>
      </c>
      <c r="E128" s="7">
        <v>300000</v>
      </c>
      <c r="F128" s="4" t="inlineStr">
        <is>
          <t>Mặt hàng kiêm vật tư</t>
        </is>
      </c>
      <c r="G128" s="4" t="inlineStr">
        <is>
          <t>THUOCLA - SHISA - XIGA</t>
        </is>
      </c>
      <c r="H128" s="5">
        <f>COUNTIF('Anh_xa_Kho_Web'!$I$5:$I$57,B128)</f>
        <v>0</v>
      </c>
    </row>
    <row r="129">
      <c r="A129" s="5">
        <v>125</v>
      </c>
      <c r="B129" s="4" t="inlineStr">
        <is>
          <t>1400010</t>
        </is>
      </c>
      <c r="C129" s="4" t="inlineStr">
        <is>
          <t>Thuốc Lá Vinataba cứng mới ba</t>
        </is>
      </c>
      <c r="D129" s="4" t="inlineStr">
        <is>
          <t>bao</t>
        </is>
      </c>
      <c r="E129" s="7">
        <v>60000</v>
      </c>
      <c r="F129" s="4" t="inlineStr">
        <is>
          <t>Mặt hàng kiêm vật tư</t>
        </is>
      </c>
      <c r="G129" s="4" t="inlineStr">
        <is>
          <t>THUOCLA - SHISA - XIGA</t>
        </is>
      </c>
      <c r="H129" s="5">
        <f>COUNTIF('Anh_xa_Kho_Web'!$I$5:$I$57,B129)</f>
        <v>1</v>
      </c>
    </row>
    <row r="130">
      <c r="A130" s="5">
        <v>126</v>
      </c>
      <c r="B130" s="4" t="inlineStr">
        <is>
          <t>1500001</t>
        </is>
      </c>
      <c r="C130" s="4" t="inlineStr">
        <is>
          <t>ĐĨA NHO</t>
        </is>
      </c>
      <c r="D130" s="4" t="inlineStr">
        <is>
          <t>đĩa</t>
        </is>
      </c>
      <c r="E130" s="7">
        <v>350000</v>
      </c>
      <c r="F130" s="4" t="inlineStr">
        <is>
          <t>Mặt hàng kiêm vật tư</t>
        </is>
      </c>
      <c r="G130" s="4" t="inlineStr">
        <is>
          <t>HOAQUA</t>
        </is>
      </c>
      <c r="H130" s="5">
        <f>COUNTIF('Anh_xa_Kho_Web'!$I$5:$I$57,B130)</f>
        <v>0</v>
      </c>
    </row>
    <row r="131">
      <c r="A131" s="5">
        <v>127</v>
      </c>
      <c r="B131" s="4" t="inlineStr">
        <is>
          <t>1500002</t>
        </is>
      </c>
      <c r="C131" s="4" t="inlineStr">
        <is>
          <t>HOA QUẢ BƯỞI</t>
        </is>
      </c>
      <c r="D131" s="4" t="inlineStr">
        <is>
          <t>đĩa</t>
        </is>
      </c>
      <c r="E131" s="7">
        <v>350000</v>
      </c>
      <c r="F131" s="4" t="inlineStr">
        <is>
          <t>Mặt hàng kiêm vật tư</t>
        </is>
      </c>
      <c r="G131" s="4" t="inlineStr">
        <is>
          <t>HOAQUA</t>
        </is>
      </c>
      <c r="H131" s="5">
        <f>COUNTIF('Anh_xa_Kho_Web'!$I$5:$I$57,B131)</f>
        <v>0</v>
      </c>
    </row>
    <row r="132">
      <c r="A132" s="5">
        <v>128</v>
      </c>
      <c r="B132" s="4" t="inlineStr">
        <is>
          <t>1500003</t>
        </is>
      </c>
      <c r="C132" s="4" t="inlineStr">
        <is>
          <t>HOA QUẢ CHÔM CHÔM</t>
        </is>
      </c>
      <c r="D132" s="4" t="inlineStr">
        <is>
          <t>đĩa</t>
        </is>
      </c>
      <c r="E132" s="7">
        <v>350000</v>
      </c>
      <c r="F132" s="4" t="inlineStr">
        <is>
          <t>Mặt hàng kiêm vật tư</t>
        </is>
      </c>
      <c r="G132" s="4" t="inlineStr">
        <is>
          <t>HOAQUA</t>
        </is>
      </c>
      <c r="H132" s="5">
        <f>COUNTIF('Anh_xa_Kho_Web'!$I$5:$I$57,B132)</f>
        <v>0</v>
      </c>
    </row>
    <row r="133">
      <c r="A133" s="5">
        <v>129</v>
      </c>
      <c r="B133" s="4" t="inlineStr">
        <is>
          <t>1500004</t>
        </is>
      </c>
      <c r="C133" s="4" t="inlineStr">
        <is>
          <t>HOA QUẢ MẬN</t>
        </is>
      </c>
      <c r="D133" s="4" t="inlineStr">
        <is>
          <t>đĩa</t>
        </is>
      </c>
      <c r="E133" s="7">
        <v>200000</v>
      </c>
      <c r="F133" s="4" t="inlineStr">
        <is>
          <t>Mặt hàng kiêm vật tư</t>
        </is>
      </c>
      <c r="G133" s="4" t="inlineStr">
        <is>
          <t>HOAQUA</t>
        </is>
      </c>
      <c r="H133" s="5">
        <f>COUNTIF('Anh_xa_Kho_Web'!$I$5:$I$57,B133)</f>
        <v>0</v>
      </c>
    </row>
    <row r="134">
      <c r="A134" s="5">
        <v>130</v>
      </c>
      <c r="B134" s="4" t="inlineStr">
        <is>
          <t>1500005</t>
        </is>
      </c>
      <c r="C134" s="4" t="inlineStr">
        <is>
          <t>HOA QUẢ ỔI</t>
        </is>
      </c>
      <c r="D134" s="4" t="inlineStr">
        <is>
          <t>đĩa</t>
        </is>
      </c>
      <c r="E134" s="7">
        <v>250000</v>
      </c>
      <c r="F134" s="4" t="inlineStr">
        <is>
          <t>Mặt hàng kiêm vật tư</t>
        </is>
      </c>
      <c r="G134" s="4" t="inlineStr">
        <is>
          <t>HOAQUA</t>
        </is>
      </c>
      <c r="H134" s="5">
        <f>COUNTIF('Anh_xa_Kho_Web'!$I$5:$I$57,B134)</f>
        <v>0</v>
      </c>
    </row>
    <row r="135">
      <c r="A135" s="5">
        <v>131</v>
      </c>
      <c r="B135" s="4" t="inlineStr">
        <is>
          <t>1500006</t>
        </is>
      </c>
      <c r="C135" s="4" t="inlineStr">
        <is>
          <t>HOA QUẢ THẬP CẨM (Đĩa nhỏ)</t>
        </is>
      </c>
      <c r="D135" s="4" t="inlineStr">
        <is>
          <t>đĩa</t>
        </is>
      </c>
      <c r="E135" s="7">
        <v>350000</v>
      </c>
      <c r="F135" s="4" t="inlineStr">
        <is>
          <t>Mặt hàng kiêm vật tư</t>
        </is>
      </c>
      <c r="G135" s="4" t="inlineStr">
        <is>
          <t>HOAQUA</t>
        </is>
      </c>
      <c r="H135" s="5">
        <f>COUNTIF('Anh_xa_Kho_Web'!$I$5:$I$57,B135)</f>
        <v>1</v>
      </c>
    </row>
    <row r="136">
      <c r="A136" s="5">
        <v>132</v>
      </c>
      <c r="B136" s="4" t="inlineStr">
        <is>
          <t>1500007</t>
        </is>
      </c>
      <c r="C136" s="4" t="inlineStr">
        <is>
          <t>HOA QUẢ THẬP CẨM (ĐĨA TO)</t>
        </is>
      </c>
      <c r="D136" s="4" t="inlineStr">
        <is>
          <t>đĩa</t>
        </is>
      </c>
      <c r="E136" s="7">
        <v>450000</v>
      </c>
      <c r="F136" s="4" t="inlineStr">
        <is>
          <t>Mặt hàng kiêm vật tư</t>
        </is>
      </c>
      <c r="G136" s="4" t="inlineStr">
        <is>
          <t>HOAQUA</t>
        </is>
      </c>
      <c r="H136" s="5">
        <f>COUNTIF('Anh_xa_Kho_Web'!$I$5:$I$57,B136)</f>
        <v>1</v>
      </c>
    </row>
    <row r="137">
      <c r="A137" s="5">
        <v>133</v>
      </c>
      <c r="B137" s="4" t="inlineStr">
        <is>
          <t>1500008</t>
        </is>
      </c>
      <c r="C137" s="4" t="inlineStr">
        <is>
          <t>HOA QUẢ XOÀI</t>
        </is>
      </c>
      <c r="D137" s="4" t="inlineStr">
        <is>
          <t>đĩa</t>
        </is>
      </c>
      <c r="E137" s="7">
        <v>250000</v>
      </c>
      <c r="F137" s="4" t="inlineStr">
        <is>
          <t>Mặt hàng kiêm vật tư</t>
        </is>
      </c>
      <c r="G137" s="4" t="inlineStr">
        <is>
          <t>HOAQUA</t>
        </is>
      </c>
      <c r="H137" s="5">
        <f>COUNTIF('Anh_xa_Kho_Web'!$I$5:$I$57,B137)</f>
        <v>0</v>
      </c>
    </row>
    <row r="138">
      <c r="A138" s="5">
        <v>134</v>
      </c>
      <c r="B138" s="4" t="inlineStr">
        <is>
          <t>1500009</t>
        </is>
      </c>
      <c r="C138" s="4" t="inlineStr">
        <is>
          <t>Hoa quả thập cẩm</t>
        </is>
      </c>
      <c r="D138" s="4" t="inlineStr">
        <is>
          <t>đĩa</t>
        </is>
      </c>
      <c r="E138" s="7">
        <v>250000</v>
      </c>
      <c r="F138" s="4" t="inlineStr">
        <is>
          <t>Mặt hàng kiêm vật tư</t>
        </is>
      </c>
      <c r="G138" s="4" t="inlineStr">
        <is>
          <t>HOAQUA</t>
        </is>
      </c>
      <c r="H138" s="5">
        <f>COUNTIF('Anh_xa_Kho_Web'!$I$5:$I$57,B138)</f>
        <v>0</v>
      </c>
    </row>
    <row r="139">
      <c r="A139" s="5">
        <v>135</v>
      </c>
      <c r="B139" s="4" t="inlineStr">
        <is>
          <t>1600001</t>
        </is>
      </c>
      <c r="C139" s="4" t="inlineStr">
        <is>
          <t>NƯỚC CAM NGUYÊN CHẤT</t>
        </is>
      </c>
      <c r="D139" s="4" t="inlineStr">
        <is>
          <t>ly</t>
        </is>
      </c>
      <c r="E139" s="7">
        <v>70000</v>
      </c>
      <c r="F139" s="4" t="inlineStr">
        <is>
          <t/>
        </is>
      </c>
      <c r="G139" s="4" t="inlineStr">
        <is>
          <t>DOPHACHE</t>
        </is>
      </c>
      <c r="H139" s="5">
        <f>COUNTIF('Anh_xa_Kho_Web'!$I$5:$I$57,B139)</f>
        <v>0</v>
      </c>
    </row>
    <row r="140">
      <c r="A140" s="5">
        <v>136</v>
      </c>
      <c r="B140" s="4" t="inlineStr">
        <is>
          <t>1600002</t>
        </is>
      </c>
      <c r="C140" s="4" t="inlineStr">
        <is>
          <t>NƯỚC CAM ĐÁ</t>
        </is>
      </c>
      <c r="D140" s="4" t="inlineStr">
        <is>
          <t>ly</t>
        </is>
      </c>
      <c r="E140" s="7">
        <v>50000</v>
      </c>
      <c r="F140" s="4" t="inlineStr">
        <is>
          <t/>
        </is>
      </c>
      <c r="G140" s="4" t="inlineStr">
        <is>
          <t>DOPHACHE</t>
        </is>
      </c>
      <c r="H140" s="5">
        <f>COUNTIF('Anh_xa_Kho_Web'!$I$5:$I$57,B140)</f>
        <v>0</v>
      </c>
    </row>
    <row r="141">
      <c r="A141" s="5">
        <v>137</v>
      </c>
      <c r="B141" s="4" t="inlineStr">
        <is>
          <t>1600003</t>
        </is>
      </c>
      <c r="C141" s="4" t="inlineStr">
        <is>
          <t>NƯỚC CHANH MUỐI</t>
        </is>
      </c>
      <c r="D141" s="4" t="inlineStr">
        <is>
          <t>ly</t>
        </is>
      </c>
      <c r="E141" s="7">
        <v>45000</v>
      </c>
      <c r="F141" s="4" t="inlineStr">
        <is>
          <t/>
        </is>
      </c>
      <c r="G141" s="4" t="inlineStr">
        <is>
          <t>DOPHACHE</t>
        </is>
      </c>
      <c r="H141" s="5">
        <f>COUNTIF('Anh_xa_Kho_Web'!$I$5:$I$57,B141)</f>
        <v>0</v>
      </c>
    </row>
    <row r="142">
      <c r="A142" s="5">
        <v>138</v>
      </c>
      <c r="B142" s="4" t="inlineStr">
        <is>
          <t>1600004</t>
        </is>
      </c>
      <c r="C142" s="4" t="inlineStr">
        <is>
          <t>NƯỚC CHANH TƯƠI</t>
        </is>
      </c>
      <c r="D142" s="4" t="inlineStr">
        <is>
          <t>ly</t>
        </is>
      </c>
      <c r="E142" s="7">
        <v>45000</v>
      </c>
      <c r="F142" s="4" t="inlineStr">
        <is>
          <t/>
        </is>
      </c>
      <c r="G142" s="4" t="inlineStr">
        <is>
          <t>DOPHACHE</t>
        </is>
      </c>
      <c r="H142" s="5">
        <f>COUNTIF('Anh_xa_Kho_Web'!$I$5:$I$57,B142)</f>
        <v>0</v>
      </c>
    </row>
    <row r="143">
      <c r="A143" s="5">
        <v>139</v>
      </c>
      <c r="B143" s="4" t="inlineStr">
        <is>
          <t>1600005</t>
        </is>
      </c>
      <c r="C143" s="4" t="inlineStr">
        <is>
          <t>NƯỚC DƯA HẤU</t>
        </is>
      </c>
      <c r="D143" s="4" t="inlineStr">
        <is>
          <t>ly</t>
        </is>
      </c>
      <c r="E143" s="7">
        <v>50000</v>
      </c>
      <c r="F143" s="4" t="inlineStr">
        <is>
          <t>Mặt hàng kiêm vật tư</t>
        </is>
      </c>
      <c r="G143" s="4" t="inlineStr">
        <is>
          <t>DOPHACHE</t>
        </is>
      </c>
      <c r="H143" s="5">
        <f>COUNTIF('Anh_xa_Kho_Web'!$I$5:$I$57,B143)</f>
        <v>0</v>
      </c>
    </row>
    <row r="144">
      <c r="A144" s="5">
        <v>140</v>
      </c>
      <c r="B144" s="4" t="inlineStr">
        <is>
          <t>1600006</t>
        </is>
      </c>
      <c r="C144" s="4" t="inlineStr">
        <is>
          <t>NƯỚC ÉP DỨA</t>
        </is>
      </c>
      <c r="D144" s="4" t="inlineStr">
        <is>
          <t>ly</t>
        </is>
      </c>
      <c r="E144" s="7">
        <v>65000</v>
      </c>
      <c r="F144" s="4" t="inlineStr">
        <is>
          <t>Mặt hàng kiêm vật tư</t>
        </is>
      </c>
      <c r="G144" s="4" t="inlineStr">
        <is>
          <t>DOPHACHE</t>
        </is>
      </c>
      <c r="H144" s="5">
        <f>COUNTIF('Anh_xa_Kho_Web'!$I$5:$I$57,B144)</f>
        <v>0</v>
      </c>
    </row>
    <row r="145">
      <c r="A145" s="5">
        <v>141</v>
      </c>
      <c r="B145" s="4" t="inlineStr">
        <is>
          <t>1600007</t>
        </is>
      </c>
      <c r="C145" s="4" t="inlineStr">
        <is>
          <t>NƯỚC ÉP ỔII</t>
        </is>
      </c>
      <c r="D145" s="4" t="inlineStr">
        <is>
          <t>ly</t>
        </is>
      </c>
      <c r="E145" s="7">
        <v>65000</v>
      </c>
      <c r="F145" s="4" t="inlineStr">
        <is>
          <t>Mặt hàng kiêm vật tư</t>
        </is>
      </c>
      <c r="G145" s="4" t="inlineStr">
        <is>
          <t>DOPHACHE</t>
        </is>
      </c>
      <c r="H145" s="5">
        <f>COUNTIF('Anh_xa_Kho_Web'!$I$5:$I$57,B145)</f>
        <v>0</v>
      </c>
    </row>
    <row r="146">
      <c r="A146" s="5">
        <v>142</v>
      </c>
      <c r="B146" s="4" t="inlineStr">
        <is>
          <t>1600008</t>
        </is>
      </c>
      <c r="C146" s="4" t="inlineStr">
        <is>
          <t>SINH TỐ XOÀI</t>
        </is>
      </c>
      <c r="D146" s="4" t="inlineStr">
        <is>
          <t>ly</t>
        </is>
      </c>
      <c r="E146" s="7">
        <v>80000</v>
      </c>
      <c r="F146" s="4" t="inlineStr">
        <is>
          <t>Mặt hàng kiêm vật tư</t>
        </is>
      </c>
      <c r="G146" s="4" t="inlineStr">
        <is>
          <t>DOPHACHE</t>
        </is>
      </c>
      <c r="H146" s="5">
        <f>COUNTIF('Anh_xa_Kho_Web'!$I$5:$I$57,B146)</f>
        <v>0</v>
      </c>
    </row>
    <row r="147">
      <c r="A147" s="5">
        <v>143</v>
      </c>
      <c r="B147" s="4" t="inlineStr">
        <is>
          <t>1600009</t>
        </is>
      </c>
      <c r="C147" s="4" t="inlineStr">
        <is>
          <t>TRÀ GỪNG</t>
        </is>
      </c>
      <c r="D147" s="4" t="inlineStr">
        <is>
          <t>ly</t>
        </is>
      </c>
      <c r="E147" s="7">
        <v>50000</v>
      </c>
      <c r="F147" s="4" t="inlineStr">
        <is>
          <t>Mặt hàng kiêm vật tư</t>
        </is>
      </c>
      <c r="G147" s="4" t="inlineStr">
        <is>
          <t>DOPHACHE</t>
        </is>
      </c>
      <c r="H147" s="5">
        <f>COUNTIF('Anh_xa_Kho_Web'!$I$5:$I$57,B147)</f>
        <v>0</v>
      </c>
    </row>
  </sheetData>
  <autoFilter ref="A4:H147"/>
  <mergeCells count="2">
    <mergeCell ref="A1:H1"/>
    <mergeCell ref="A2:H2"/>
  </mergeCells>
  <pageMargins left="0.3" right="0.3" top="0.5" bottom="0.5" header="0.2" footer="0.2"/>
  <pageSetup orientation="landscape" fitToWidth="1" fitToHeight="0"/>
</worksheet>
</file>

<file path=xl/worksheets/sheet5.xml><?xml version="1.0" encoding="utf-8"?>
<worksheet xmlns="http://schemas.openxmlformats.org/spreadsheetml/2006/main">
  <dimension ref="A1:L35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7" customWidth="1"/>
    <col min="2" max="2" width="18" customWidth="1"/>
    <col min="3" max="3" width="20" customWidth="1"/>
    <col min="4" max="4" width="42" customWidth="1"/>
    <col min="5" max="5" width="13" customWidth="1"/>
    <col min="6" max="6" width="16" customWidth="1"/>
    <col min="7" max="7" width="15" customWidth="1"/>
    <col min="8" max="8" width="38" customWidth="1"/>
    <col min="9" max="9" width="16" customWidth="1"/>
    <col min="10" max="10" width="16" customWidth="1"/>
    <col min="11" max="11" width="55" customWidth="1"/>
    <col min="12" max="12" width="44" customWidth="1"/>
  </cols>
  <sheetData>
    <row r="1" ht="32" customHeight="1">
      <c r="A1" s="1" t="inlineStr">
        <is>
          <t>DANH SÁCH CẦN XỬ LÝ</t>
        </is>
      </c>
      <c r="B1" s="0" t="inlineStr">
        <is>
          <t/>
        </is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inlineStr">
        <is>
          <t/>
        </is>
      </c>
      <c r="G1" s="0" t="inlineStr">
        <is>
          <t/>
        </is>
      </c>
      <c r="H1" s="0" t="inlineStr">
        <is>
          <t/>
        </is>
      </c>
      <c r="I1" s="0" t="inlineStr">
        <is>
          <t/>
        </is>
      </c>
      <c r="J1" s="0" t="inlineStr">
        <is>
          <t/>
        </is>
      </c>
      <c r="K1" s="0" t="inlineStr">
        <is>
          <t/>
        </is>
      </c>
      <c r="L1" s="0" t="inlineStr">
        <is>
          <t/>
        </is>
      </c>
    </row>
    <row r="2">
      <c r="A2" s="2" t="inlineStr">
        <is>
          <t>Ưu tiên xử lý dòng NGHIÊM TRỌNG trước; không đưa dòng chưa xác nhận vào bộ giải hóa đơn.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</row>
    <row r="3">
      <c r="A3" s="0" t="inlineStr">
        <is>
          <t/>
        </is>
      </c>
      <c r="B3" s="0" t="inlineStr">
        <is>
          <t/>
        </is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  <c r="G3" s="0" t="inlineStr">
        <is>
          <t/>
        </is>
      </c>
      <c r="H3" s="0" t="inlineStr">
        <is>
          <t/>
        </is>
      </c>
      <c r="I3" s="0" t="inlineStr">
        <is>
          <t/>
        </is>
      </c>
      <c r="J3" s="0" t="inlineStr">
        <is>
          <t/>
        </is>
      </c>
      <c r="K3" s="0" t="inlineStr">
        <is>
          <t/>
        </is>
      </c>
      <c r="L3" s="0" t="inlineStr">
        <is>
          <t/>
        </is>
      </c>
    </row>
    <row r="4" ht="30" customHeight="1">
      <c r="A4" s="3" t="inlineStr">
        <is>
          <t>STT</t>
        </is>
      </c>
      <c r="B4" s="3" t="inlineStr">
        <is>
          <t>Mức độ</t>
        </is>
      </c>
      <c r="C4" s="3" t="inlineStr">
        <is>
          <t>Mã kho</t>
        </is>
      </c>
      <c r="D4" s="3" t="inlineStr">
        <is>
          <t>Tên kho</t>
        </is>
      </c>
      <c r="E4" s="3" t="inlineStr">
        <is>
          <t>Tồn bán</t>
        </is>
      </c>
      <c r="F4" s="3" t="inlineStr">
        <is>
          <t>Giá kho</t>
        </is>
      </c>
      <c r="G4" s="3" t="inlineStr">
        <is>
          <t>Mã web</t>
        </is>
      </c>
      <c r="H4" s="3" t="inlineStr">
        <is>
          <t>Tên web</t>
        </is>
      </c>
      <c r="I4" s="3" t="inlineStr">
        <is>
          <t>Giá web</t>
        </is>
      </c>
      <c r="J4" s="3" t="inlineStr">
        <is>
          <t>Trạng thái</t>
        </is>
      </c>
      <c r="K4" s="3" t="inlineStr">
        <is>
          <t>Vấn đề</t>
        </is>
      </c>
      <c r="L4" s="3" t="inlineStr">
        <is>
          <t>Hành động đề xuất</t>
        </is>
      </c>
    </row>
    <row r="5">
      <c r="A5" s="5">
        <v>1</v>
      </c>
      <c r="B5" s="16" t="inlineStr">
        <is>
          <t>CẦN DUYỆT</t>
        </is>
      </c>
      <c r="C5" s="4" t="inlineStr">
        <is>
          <t>BANHSNACK</t>
        </is>
      </c>
      <c r="D5" s="4" t="inlineStr">
        <is>
          <t>Bánh snack bắp 40g Vfoods</t>
        </is>
      </c>
      <c r="E5" s="5">
        <v>20</v>
      </c>
      <c r="F5" s="7">
        <v>30000</v>
      </c>
      <c r="G5" s="4" t="inlineStr">
        <is>
          <t>1000047</t>
        </is>
      </c>
      <c r="H5" s="4" t="inlineStr">
        <is>
          <t>Bánh snack bắp 40g Vfoods</t>
        </is>
      </c>
      <c r="I5" s="7">
        <v>60000</v>
      </c>
      <c r="J5" s="10" t="inlineStr">
        <is>
          <t>review</t>
        </is>
      </c>
      <c r="K5" s="12" t="inlineStr">
        <is>
          <t>Ánh xạ chưa được xác nhận; Giá kho và giá web khác nhau</t>
        </is>
      </c>
      <c r="L5" s="12" t="inlineStr">
        <is>
          <t>Đối chiếu tên/đơn vị/giá rồi xác nhận hoặc chọn lại</t>
        </is>
      </c>
    </row>
    <row r="6">
      <c r="A6" s="5">
        <v>2</v>
      </c>
      <c r="B6" s="16" t="inlineStr">
        <is>
          <t>CẦN DUYỆT</t>
        </is>
      </c>
      <c r="C6" s="4" t="inlineStr">
        <is>
          <t>TLTHANGLONGTH</t>
        </is>
      </c>
      <c r="D6" s="4" t="inlineStr">
        <is>
          <t>Thuốc lá điếu Thăng Long hộp thiếc</t>
        </is>
      </c>
      <c r="E6" s="5">
        <v>20</v>
      </c>
      <c r="F6" s="7">
        <v>80000</v>
      </c>
      <c r="G6" s="4" t="inlineStr">
        <is>
          <t>1400007</t>
        </is>
      </c>
      <c r="H6" s="4" t="inlineStr">
        <is>
          <t>THUỐC LÁ 555</t>
        </is>
      </c>
      <c r="I6" s="7">
        <v>80000</v>
      </c>
      <c r="J6" s="10" t="inlineStr">
        <is>
          <t>review</t>
        </is>
      </c>
      <c r="K6" s="12" t="inlineStr">
        <is>
          <t>Ánh xạ chưa được xác nhận; Mã web đang được 6 dòng kho cùng sử dụng</t>
        </is>
      </c>
      <c r="L6" s="12" t="inlineStr">
        <is>
          <t>Đối chiếu tên/đơn vị/giá rồi xác nhận hoặc chọn lại</t>
        </is>
      </c>
    </row>
    <row r="7">
      <c r="A7" s="5">
        <v>3</v>
      </c>
      <c r="B7" s="16" t="inlineStr">
        <is>
          <t>CẦN DUYỆT</t>
        </is>
      </c>
      <c r="C7" s="4" t="inlineStr">
        <is>
          <t>DECUOI70</t>
        </is>
      </c>
      <c r="D7" s="4" t="inlineStr">
        <is>
          <t>Hạt dẻ cười 70 gram</t>
        </is>
      </c>
      <c r="E7" s="5">
        <v>47</v>
      </c>
      <c r="F7" s="7">
        <v>65000</v>
      </c>
      <c r="G7" s="4" t="inlineStr">
        <is>
          <t>1000010</t>
        </is>
      </c>
      <c r="H7" s="4" t="inlineStr">
        <is>
          <t>HẠT DẺ</t>
        </is>
      </c>
      <c r="I7" s="7">
        <v>65000</v>
      </c>
      <c r="J7" s="10" t="inlineStr">
        <is>
          <t>review</t>
        </is>
      </c>
      <c r="K7" s="12" t="inlineStr">
        <is>
          <t>Ánh xạ chưa được xác nhận; Mã web đang được 4 dòng kho cùng sử dụng</t>
        </is>
      </c>
      <c r="L7" s="12" t="inlineStr">
        <is>
          <t>Đối chiếu tên/đơn vị/giá rồi xác nhận hoặc chọn lại</t>
        </is>
      </c>
    </row>
    <row r="8">
      <c r="A8" s="5">
        <v>4</v>
      </c>
      <c r="B8" s="16" t="inlineStr">
        <is>
          <t>CẦN DUYỆT</t>
        </is>
      </c>
      <c r="C8" s="4" t="inlineStr">
        <is>
          <t>IONVIE500</t>
        </is>
      </c>
      <c r="D8" s="4" t="inlineStr">
        <is>
          <t>Nước uống ion kiềm IONVie, 500ml * 20 chai</t>
        </is>
      </c>
      <c r="E8" s="5">
        <v>979</v>
      </c>
      <c r="F8" s="7">
        <v>25000</v>
      </c>
      <c r="G8" s="4" t="inlineStr">
        <is>
          <t>1100029</t>
        </is>
      </c>
      <c r="H8" s="4" t="inlineStr">
        <is>
          <t>Nước uống ion kiềm IONVie, 500ml</t>
        </is>
      </c>
      <c r="I8" s="7">
        <v>25000</v>
      </c>
      <c r="J8" s="10" t="inlineStr">
        <is>
          <t>review</t>
        </is>
      </c>
      <c r="K8" s="12" t="inlineStr">
        <is>
          <t>Ánh xạ chưa được xác nhận; Mã web đang được 2 dòng kho cùng sử dụng</t>
        </is>
      </c>
      <c r="L8" s="12" t="inlineStr">
        <is>
          <t>Đối chiếu tên/đơn vị/giá rồi xác nhận hoặc chọn lại</t>
        </is>
      </c>
    </row>
    <row r="9">
      <c r="A9" s="5">
        <v>5</v>
      </c>
      <c r="B9" s="16" t="inlineStr">
        <is>
          <t>CẦN DUYỆT</t>
        </is>
      </c>
      <c r="C9" s="4" t="inlineStr">
        <is>
          <t>tratac</t>
        </is>
      </c>
      <c r="D9" s="4" t="inlineStr">
        <is>
          <t>Trà tắc mật ong (Nhãn hiệu Cozy) (Tết 320ml)</t>
        </is>
      </c>
      <c r="E9" s="5">
        <v>57</v>
      </c>
      <c r="F9" s="7">
        <v>40000</v>
      </c>
      <c r="G9" s="4" t="inlineStr">
        <is>
          <t>1100030</t>
        </is>
      </c>
      <c r="H9" s="4" t="inlineStr">
        <is>
          <t>Trà đào sả (Nhãn hiệu Cozy) (320ml)</t>
        </is>
      </c>
      <c r="I9" s="7">
        <v>40000</v>
      </c>
      <c r="J9" s="10" t="inlineStr">
        <is>
          <t>review</t>
        </is>
      </c>
      <c r="K9" s="12" t="inlineStr">
        <is>
          <t>Ánh xạ chưa được xác nhận</t>
        </is>
      </c>
      <c r="L9" s="12" t="inlineStr">
        <is>
          <t>Đối chiếu tên/đơn vị/giá rồi xác nhận hoặc chọn lại</t>
        </is>
      </c>
    </row>
    <row r="10">
      <c r="A10" s="5">
        <v>6</v>
      </c>
      <c r="B10" s="17" t="inlineStr">
        <is>
          <t>NGHIÊM TRỌNG</t>
        </is>
      </c>
      <c r="C10" s="4" t="inlineStr">
        <is>
          <t>Hotdog Ponnie</t>
        </is>
      </c>
      <c r="D10" s="4" t="inlineStr">
        <is>
          <t>Hotdog Ponnie giòn ăn liền vị cay 4hộp x 20gói x 28gr</t>
        </is>
      </c>
      <c r="E10" s="5">
        <v>1164</v>
      </c>
      <c r="F10" s="7">
        <v>15000</v>
      </c>
      <c r="G10" s="4" t="inlineStr">
        <is>
          <t>1000053</t>
        </is>
      </c>
      <c r="H10" s="4" t="inlineStr">
        <is>
          <t>Lay's Wavy vi Pho Mai Cheddar 28g 16x10</t>
        </is>
      </c>
      <c r="I10" s="7">
        <v>15000</v>
      </c>
      <c r="J10" s="11" t="inlineStr">
        <is>
          <t>unmatched</t>
        </is>
      </c>
      <c r="K10" s="12" t="inlineStr">
        <is>
          <t>Ánh xạ chưa được xác nhận; Mã web đang được 2 dòng kho cùng sử dụng</t>
        </is>
      </c>
      <c r="L10" s="12" t="inlineStr">
        <is>
          <t>Không cho phép bán; chọn lại mã web đúng</t>
        </is>
      </c>
    </row>
    <row r="11">
      <c r="A11" s="5">
        <v>7</v>
      </c>
      <c r="B11" s="16" t="inlineStr">
        <is>
          <t>CẦN DUYỆT</t>
        </is>
      </c>
      <c r="C11" s="4" t="inlineStr">
        <is>
          <t>LAVIE500TH</t>
        </is>
      </c>
      <c r="D11" s="4" t="inlineStr">
        <is>
          <t>Lavie 500ml</t>
        </is>
      </c>
      <c r="E11" s="5">
        <v>1511</v>
      </c>
      <c r="F11" s="7">
        <v>25000</v>
      </c>
      <c r="G11" s="4" t="inlineStr">
        <is>
          <t>1100029</t>
        </is>
      </c>
      <c r="H11" s="4" t="inlineStr">
        <is>
          <t>Nước uống ion kiềm IONVie, 500ml</t>
        </is>
      </c>
      <c r="I11" s="7">
        <v>25000</v>
      </c>
      <c r="J11" s="10" t="inlineStr">
        <is>
          <t>review</t>
        </is>
      </c>
      <c r="K11" s="12" t="inlineStr">
        <is>
          <t>Ánh xạ chưa được xác nhận; Mã web đang được 2 dòng kho cùng sử dụng</t>
        </is>
      </c>
      <c r="L11" s="12" t="inlineStr">
        <is>
          <t>Đối chiếu tên/đơn vị/giá rồi xác nhận hoặc chọn lại</t>
        </is>
      </c>
    </row>
    <row r="12">
      <c r="A12" s="5">
        <v>8</v>
      </c>
      <c r="B12" s="17" t="inlineStr">
        <is>
          <t>NGHIÊM TRỌNG</t>
        </is>
      </c>
      <c r="C12" s="4" t="inlineStr">
        <is>
          <t>TLBM</t>
        </is>
      </c>
      <c r="D12" s="4" t="inlineStr">
        <is>
          <t>Thăng Long B.M</t>
        </is>
      </c>
      <c r="E12" s="5">
        <v>66</v>
      </c>
      <c r="F12" s="7">
        <v>50000</v>
      </c>
      <c r="G12" s="4" t="inlineStr">
        <is>
          <t>1000019</t>
        </is>
      </c>
      <c r="H12" s="4" t="inlineStr">
        <is>
          <t>RONG BIỂN 1</t>
        </is>
      </c>
      <c r="I12" s="7">
        <v>50000</v>
      </c>
      <c r="J12" s="11" t="inlineStr">
        <is>
          <t>unmatched</t>
        </is>
      </c>
      <c r="K12" s="12" t="inlineStr">
        <is>
          <t>Ánh xạ chưa được xác nhận; Mã web đang được 2 dòng kho cùng sử dụng</t>
        </is>
      </c>
      <c r="L12" s="12" t="inlineStr">
        <is>
          <t>Không cho phép bán; chọn lại mã web đúng</t>
        </is>
      </c>
    </row>
    <row r="13">
      <c r="A13" s="5">
        <v>9</v>
      </c>
      <c r="B13" s="16" t="inlineStr">
        <is>
          <t>CẦN DUYỆT</t>
        </is>
      </c>
      <c r="C13" s="4" t="inlineStr">
        <is>
          <t>DECUOI60</t>
        </is>
      </c>
      <c r="D13" s="4" t="inlineStr">
        <is>
          <t>Hạt dẻ cười 60 gram</t>
        </is>
      </c>
      <c r="E13" s="5">
        <v>74</v>
      </c>
      <c r="F13" s="7">
        <v>65000</v>
      </c>
      <c r="G13" s="4" t="inlineStr">
        <is>
          <t>1000010</t>
        </is>
      </c>
      <c r="H13" s="4" t="inlineStr">
        <is>
          <t>HẠT DẺ</t>
        </is>
      </c>
      <c r="I13" s="7">
        <v>65000</v>
      </c>
      <c r="J13" s="10" t="inlineStr">
        <is>
          <t>review</t>
        </is>
      </c>
      <c r="K13" s="12" t="inlineStr">
        <is>
          <t>Ánh xạ chưa được xác nhận; Mã web đang được 4 dòng kho cùng sử dụng</t>
        </is>
      </c>
      <c r="L13" s="12" t="inlineStr">
        <is>
          <t>Đối chiếu tên/đơn vị/giá rồi xác nhận hoặc chọn lại</t>
        </is>
      </c>
    </row>
    <row r="14">
      <c r="A14" s="5">
        <v>10</v>
      </c>
      <c r="B14" s="16" t="inlineStr">
        <is>
          <t>CẦN DUYỆT</t>
        </is>
      </c>
      <c r="C14" s="4" t="inlineStr">
        <is>
          <t>TLĐCCC</t>
        </is>
      </c>
      <c r="D14" s="4" t="inlineStr">
        <is>
          <t>Thuốc lá điếu đầu lọc Camel Compact Caster</t>
        </is>
      </c>
      <c r="E14" s="5">
        <v>78</v>
      </c>
      <c r="F14" s="7">
        <v>60000</v>
      </c>
      <c r="G14" s="4" t="inlineStr">
        <is>
          <t>1400007</t>
        </is>
      </c>
      <c r="H14" s="4" t="inlineStr">
        <is>
          <t>THUỐC LÁ 555</t>
        </is>
      </c>
      <c r="I14" s="7">
        <v>80000</v>
      </c>
      <c r="J14" s="10" t="inlineStr">
        <is>
          <t>review</t>
        </is>
      </c>
      <c r="K14" s="12" t="inlineStr">
        <is>
          <t>Ánh xạ chưa được xác nhận; Giá kho và giá web khác nhau; Mã web đang được 6 dòng kho cùng sử dụng</t>
        </is>
      </c>
      <c r="L14" s="12" t="inlineStr">
        <is>
          <t>Đối chiếu tên/đơn vị/giá rồi xác nhận hoặc chọn lại</t>
        </is>
      </c>
    </row>
    <row r="15">
      <c r="A15" s="5">
        <v>11</v>
      </c>
      <c r="B15" s="16" t="inlineStr">
        <is>
          <t>CẦN DUYỆT</t>
        </is>
      </c>
      <c r="C15" s="4" t="inlineStr">
        <is>
          <t>TL555SB</t>
        </is>
      </c>
      <c r="D15" s="4" t="inlineStr">
        <is>
          <t>Thuốc lá 555 Signature Blue</t>
        </is>
      </c>
      <c r="E15" s="5">
        <v>87</v>
      </c>
      <c r="F15" s="7">
        <v>80000</v>
      </c>
      <c r="G15" s="4" t="inlineStr">
        <is>
          <t>1400007</t>
        </is>
      </c>
      <c r="H15" s="4" t="inlineStr">
        <is>
          <t>THUỐC LÁ 555</t>
        </is>
      </c>
      <c r="I15" s="7">
        <v>80000</v>
      </c>
      <c r="J15" s="10" t="inlineStr">
        <is>
          <t>review</t>
        </is>
      </c>
      <c r="K15" s="12" t="inlineStr">
        <is>
          <t>Ánh xạ chưa được xác nhận; Mã web đang được 6 dòng kho cùng sử dụng</t>
        </is>
      </c>
      <c r="L15" s="12" t="inlineStr">
        <is>
          <t>Đối chiếu tên/đơn vị/giá rồi xác nhận hoặc chọn lại</t>
        </is>
      </c>
    </row>
    <row r="16">
      <c r="A16" s="5">
        <v>12</v>
      </c>
      <c r="B16" s="16" t="inlineStr">
        <is>
          <t>CẦN DUYỆT</t>
        </is>
      </c>
      <c r="C16" s="4" t="inlineStr">
        <is>
          <t>TLDSLIM</t>
        </is>
      </c>
      <c r="D16" s="4" t="inlineStr">
        <is>
          <t>Thuốc lá điếu Thăng long Slim</t>
        </is>
      </c>
      <c r="E16" s="5">
        <v>90</v>
      </c>
      <c r="F16" s="7">
        <v>50000</v>
      </c>
      <c r="G16" s="4" t="inlineStr">
        <is>
          <t>1400007</t>
        </is>
      </c>
      <c r="H16" s="4" t="inlineStr">
        <is>
          <t>THUỐC LÁ 555</t>
        </is>
      </c>
      <c r="I16" s="7">
        <v>80000</v>
      </c>
      <c r="J16" s="10" t="inlineStr">
        <is>
          <t>review</t>
        </is>
      </c>
      <c r="K16" s="12" t="inlineStr">
        <is>
          <t>Ánh xạ chưa được xác nhận; Giá kho và giá web khác nhau; Mã web đang được 6 dòng kho cùng sử dụng</t>
        </is>
      </c>
      <c r="L16" s="12" t="inlineStr">
        <is>
          <t>Đối chiếu tên/đơn vị/giá rồi xác nhận hoặc chọn lại</t>
        </is>
      </c>
    </row>
    <row r="17">
      <c r="A17" s="5">
        <v>13</v>
      </c>
      <c r="B17" s="17" t="inlineStr">
        <is>
          <t>NGHIÊM TRỌNG</t>
        </is>
      </c>
      <c r="C17" s="4" t="inlineStr">
        <is>
          <t>TLBC</t>
        </is>
      </c>
      <c r="D17" s="4" t="inlineStr">
        <is>
          <t>Thăng Long B.C</t>
        </is>
      </c>
      <c r="E17" s="5">
        <v>100</v>
      </c>
      <c r="F17" s="7">
        <v>50000</v>
      </c>
      <c r="G17" s="4" t="inlineStr">
        <is>
          <t>1000019</t>
        </is>
      </c>
      <c r="H17" s="4" t="inlineStr">
        <is>
          <t>RONG BIỂN 1</t>
        </is>
      </c>
      <c r="I17" s="7">
        <v>50000</v>
      </c>
      <c r="J17" s="11" t="inlineStr">
        <is>
          <t>unmatched</t>
        </is>
      </c>
      <c r="K17" s="12" t="inlineStr">
        <is>
          <t>Ánh xạ chưa được xác nhận; Mã web đang được 2 dòng kho cùng sử dụng</t>
        </is>
      </c>
      <c r="L17" s="12" t="inlineStr">
        <is>
          <t>Không cho phép bán; chọn lại mã web đúng</t>
        </is>
      </c>
    </row>
    <row r="18">
      <c r="A18" s="5">
        <v>14</v>
      </c>
      <c r="B18" s="17" t="inlineStr">
        <is>
          <t>NGHIÊM TRỌNG</t>
        </is>
      </c>
      <c r="C18" s="4" t="inlineStr">
        <is>
          <t>TLSLIM</t>
        </is>
      </c>
      <c r="D18" s="4" t="inlineStr">
        <is>
          <t>Thăng long Slim bao cứng</t>
        </is>
      </c>
      <c r="E18" s="5">
        <v>100</v>
      </c>
      <c r="F18" s="7">
        <v>50000</v>
      </c>
      <c r="G18" s="4" t="inlineStr">
        <is>
          <t>1400010</t>
        </is>
      </c>
      <c r="H18" s="4" t="inlineStr">
        <is>
          <t>Thuốc Lá Vinataba cứng mới ba</t>
        </is>
      </c>
      <c r="I18" s="7">
        <v>60000</v>
      </c>
      <c r="J18" s="11" t="inlineStr">
        <is>
          <t>unmatched</t>
        </is>
      </c>
      <c r="K18" s="12" t="inlineStr">
        <is>
          <t>Ánh xạ chưa được xác nhận; Giá kho và giá web khác nhau</t>
        </is>
      </c>
      <c r="L18" s="12" t="inlineStr">
        <is>
          <t>Không cho phép bán; chọn lại mã web đúng</t>
        </is>
      </c>
    </row>
    <row r="19">
      <c r="A19" s="5">
        <v>15</v>
      </c>
      <c r="B19" s="16" t="inlineStr">
        <is>
          <t>CẦN DUYỆT</t>
        </is>
      </c>
      <c r="C19" s="4" t="inlineStr">
        <is>
          <t>QUYTRAXANH</t>
        </is>
      </c>
      <c r="D19" s="4" t="inlineStr">
        <is>
          <t>BÁNH QUY QUE VỊ TRÀ XANH 36G (CHOCO007)</t>
        </is>
      </c>
      <c r="E19" s="5">
        <v>108</v>
      </c>
      <c r="F19" s="7">
        <v>40000</v>
      </c>
      <c r="G19" s="4" t="inlineStr">
        <is>
          <t>1000025</t>
        </is>
      </c>
      <c r="H19" s="4" t="inlineStr">
        <is>
          <t>Bánh quy que</t>
        </is>
      </c>
      <c r="I19" s="7">
        <v>40000</v>
      </c>
      <c r="J19" s="10" t="inlineStr">
        <is>
          <t>review</t>
        </is>
      </c>
      <c r="K19" s="12" t="inlineStr">
        <is>
          <t>Ánh xạ chưa được xác nhận; Mã web đang được 2 dòng kho cùng sử dụng</t>
        </is>
      </c>
      <c r="L19" s="12" t="inlineStr">
        <is>
          <t>Đối chiếu tên/đơn vị/giá rồi xác nhận hoặc chọn lại</t>
        </is>
      </c>
    </row>
    <row r="20">
      <c r="A20" s="5">
        <v>16</v>
      </c>
      <c r="B20" s="16" t="inlineStr">
        <is>
          <t>CẦN DUYỆT</t>
        </is>
      </c>
      <c r="C20" s="4" t="inlineStr">
        <is>
          <t>QUYVIETQUAT</t>
        </is>
      </c>
      <c r="D20" s="4" t="inlineStr">
        <is>
          <t>BÁNH QUY QUE VỊ VIỆT QUẤT 36G (CHOCO008)</t>
        </is>
      </c>
      <c r="E20" s="5">
        <v>108</v>
      </c>
      <c r="F20" s="7">
        <v>40000</v>
      </c>
      <c r="G20" s="4" t="inlineStr">
        <is>
          <t>1000025</t>
        </is>
      </c>
      <c r="H20" s="4" t="inlineStr">
        <is>
          <t>Bánh quy que</t>
        </is>
      </c>
      <c r="I20" s="7">
        <v>40000</v>
      </c>
      <c r="J20" s="10" t="inlineStr">
        <is>
          <t>review</t>
        </is>
      </c>
      <c r="K20" s="12" t="inlineStr">
        <is>
          <t>Ánh xạ chưa được xác nhận; Mã web đang được 2 dòng kho cùng sử dụng</t>
        </is>
      </c>
      <c r="L20" s="12" t="inlineStr">
        <is>
          <t>Đối chiếu tên/đơn vị/giá rồi xác nhận hoặc chọn lại</t>
        </is>
      </c>
    </row>
    <row r="21">
      <c r="A21" s="5">
        <v>17</v>
      </c>
      <c r="B21" s="16" t="inlineStr">
        <is>
          <t>CẦN DUYỆT</t>
        </is>
      </c>
      <c r="C21" s="4" t="inlineStr">
        <is>
          <t>bkm</t>
        </is>
      </c>
      <c r="D21" s="4" t="inlineStr">
        <is>
          <t>Bò khô miếng 32g</t>
        </is>
      </c>
      <c r="E21" s="5">
        <v>116</v>
      </c>
      <c r="F21" s="7">
        <v>65000</v>
      </c>
      <c r="G21" s="4" t="inlineStr">
        <is>
          <t>1000004</t>
        </is>
      </c>
      <c r="H21" s="4" t="inlineStr">
        <is>
          <t>BÒ KHÔ MIẾNG</t>
        </is>
      </c>
      <c r="I21" s="7">
        <v>90000</v>
      </c>
      <c r="J21" s="10" t="inlineStr">
        <is>
          <t>review</t>
        </is>
      </c>
      <c r="K21" s="12" t="inlineStr">
        <is>
          <t>Ánh xạ chưa được xác nhận; Giá kho và giá web khác nhau</t>
        </is>
      </c>
      <c r="L21" s="12" t="inlineStr">
        <is>
          <t>Đối chiếu tên/đơn vị/giá rồi xác nhận hoặc chọn lại</t>
        </is>
      </c>
    </row>
    <row r="22">
      <c r="A22" s="5">
        <v>18</v>
      </c>
      <c r="B22" s="16" t="inlineStr">
        <is>
          <t>CẦN DUYỆT</t>
        </is>
      </c>
      <c r="C22" s="4" t="inlineStr">
        <is>
          <t>mohonglam</t>
        </is>
      </c>
      <c r="D22" s="4" t="inlineStr">
        <is>
          <t>Mơ Hồng Lam 5 60g</t>
        </is>
      </c>
      <c r="E22" s="5">
        <v>140</v>
      </c>
      <c r="F22" s="7">
        <v>50000</v>
      </c>
      <c r="G22" s="4" t="inlineStr">
        <is>
          <t>1000044</t>
        </is>
      </c>
      <c r="H22" s="4" t="inlineStr">
        <is>
          <t>Mơ Hồng Lam 5 60g</t>
        </is>
      </c>
      <c r="I22" s="7">
        <v>70000</v>
      </c>
      <c r="J22" s="10" t="inlineStr">
        <is>
          <t>review</t>
        </is>
      </c>
      <c r="K22" s="12" t="inlineStr">
        <is>
          <t>Ánh xạ chưa được xác nhận; Giá kho và giá web khác nhau</t>
        </is>
      </c>
      <c r="L22" s="12" t="inlineStr">
        <is>
          <t>Đối chiếu tên/đơn vị/giá rồi xác nhận hoặc chọn lại</t>
        </is>
      </c>
    </row>
    <row r="23">
      <c r="A23" s="5">
        <v>19</v>
      </c>
      <c r="B23" s="16" t="inlineStr">
        <is>
          <t>CẦN DUYỆT</t>
        </is>
      </c>
      <c r="C23" s="4" t="inlineStr">
        <is>
          <t>YENSANESTTH</t>
        </is>
      </c>
      <c r="D23" s="4" t="inlineStr">
        <is>
          <t>Nước yến Sanest lon T x 190ml</t>
        </is>
      </c>
      <c r="E23" s="5">
        <v>4211</v>
      </c>
      <c r="F23" s="7">
        <v>30000</v>
      </c>
      <c r="G23" s="4" t="inlineStr">
        <is>
          <t>1100012</t>
        </is>
      </c>
      <c r="H23" s="4" t="inlineStr">
        <is>
          <t>NƯỚC YẾN LON</t>
        </is>
      </c>
      <c r="I23" s="7">
        <v>30000</v>
      </c>
      <c r="J23" s="10" t="inlineStr">
        <is>
          <t>review</t>
        </is>
      </c>
      <c r="K23" s="12" t="inlineStr">
        <is>
          <t>Ánh xạ chưa được xác nhận; Mã web đang được 2 dòng kho cùng sử dụng</t>
        </is>
      </c>
      <c r="L23" s="12" t="inlineStr">
        <is>
          <t>Đối chiếu tên/đơn vị/giá rồi xác nhận hoặc chọn lại</t>
        </is>
      </c>
    </row>
    <row r="24">
      <c r="A24" s="5">
        <v>20</v>
      </c>
      <c r="B24" s="16" t="inlineStr">
        <is>
          <t>CẦN DUYỆT</t>
        </is>
      </c>
      <c r="C24" s="4" t="inlineStr">
        <is>
          <t>CAMELBT</t>
        </is>
      </c>
      <c r="D24" s="4" t="inlineStr">
        <is>
          <t>Thuốc lá điếu đầu lọc Camel Caster Black Tea</t>
        </is>
      </c>
      <c r="E24" s="5">
        <v>179</v>
      </c>
      <c r="F24" s="7">
        <v>80000</v>
      </c>
      <c r="G24" s="4" t="inlineStr">
        <is>
          <t>1400007</t>
        </is>
      </c>
      <c r="H24" s="4" t="inlineStr">
        <is>
          <t>THUỐC LÁ 555</t>
        </is>
      </c>
      <c r="I24" s="7">
        <v>80000</v>
      </c>
      <c r="J24" s="10" t="inlineStr">
        <is>
          <t>review</t>
        </is>
      </c>
      <c r="K24" s="12" t="inlineStr">
        <is>
          <t>Ánh xạ chưa được xác nhận; Mã web đang được 6 dòng kho cùng sử dụng</t>
        </is>
      </c>
      <c r="L24" s="12" t="inlineStr">
        <is>
          <t>Đối chiếu tên/đơn vị/giá rồi xác nhận hoặc chọn lại</t>
        </is>
      </c>
    </row>
    <row r="25">
      <c r="A25" s="5">
        <v>21</v>
      </c>
      <c r="B25" s="17" t="inlineStr">
        <is>
          <t>NGHIÊM TRỌNG</t>
        </is>
      </c>
      <c r="C25" s="4" t="inlineStr">
        <is>
          <t>Hạt macadamia</t>
        </is>
      </c>
      <c r="D25" s="4" t="inlineStr">
        <is>
          <t>Hạt macadamia chưa tách vỏ, đã qua chế biến ( DO TQSX)</t>
        </is>
      </c>
      <c r="E25" s="5">
        <v>182</v>
      </c>
      <c r="F25" s="7">
        <v>65000</v>
      </c>
      <c r="G25" s="4" t="inlineStr">
        <is>
          <t>1000010</t>
        </is>
      </c>
      <c r="H25" s="4" t="inlineStr">
        <is>
          <t>HẠT DẺ</t>
        </is>
      </c>
      <c r="I25" s="7">
        <v>65000</v>
      </c>
      <c r="J25" s="11" t="inlineStr">
        <is>
          <t>unmatched</t>
        </is>
      </c>
      <c r="K25" s="12" t="inlineStr">
        <is>
          <t>Ánh xạ chưa được xác nhận; Mã web đang được 4 dòng kho cùng sử dụng</t>
        </is>
      </c>
      <c r="L25" s="12" t="inlineStr">
        <is>
          <t>Không cho phép bán; chọn lại mã web đúng</t>
        </is>
      </c>
    </row>
    <row r="26">
      <c r="A26" s="5">
        <v>22</v>
      </c>
      <c r="B26" s="16" t="inlineStr">
        <is>
          <t>CẦN DUYỆT</t>
        </is>
      </c>
      <c r="C26" s="4" t="inlineStr">
        <is>
          <t>HATDECUOIRM</t>
        </is>
      </c>
      <c r="D26" s="4" t="inlineStr">
        <is>
          <t>Hạt dẻ cười rang muối</t>
        </is>
      </c>
      <c r="E26" s="5">
        <v>198</v>
      </c>
      <c r="F26" s="7">
        <v>40000</v>
      </c>
      <c r="G26" s="4" t="inlineStr">
        <is>
          <t>1000010</t>
        </is>
      </c>
      <c r="H26" s="4" t="inlineStr">
        <is>
          <t>HẠT DẺ</t>
        </is>
      </c>
      <c r="I26" s="7">
        <v>65000</v>
      </c>
      <c r="J26" s="10" t="inlineStr">
        <is>
          <t>review</t>
        </is>
      </c>
      <c r="K26" s="12" t="inlineStr">
        <is>
          <t>Ánh xạ chưa được xác nhận; Giá kho và giá web khác nhau; Mã web đang được 4 dòng kho cùng sử dụng</t>
        </is>
      </c>
      <c r="L26" s="12" t="inlineStr">
        <is>
          <t>Đối chiếu tên/đơn vị/giá rồi xác nhận hoặc chọn lại</t>
        </is>
      </c>
    </row>
    <row r="27">
      <c r="A27" s="5">
        <v>23</v>
      </c>
      <c r="B27" s="16" t="inlineStr">
        <is>
          <t>CẦN DUYỆT</t>
        </is>
      </c>
      <c r="C27" s="4" t="inlineStr">
        <is>
          <t>BIM2PM</t>
        </is>
      </c>
      <c r="D27" s="4" t="inlineStr">
        <is>
          <t>Lay's Wavy vi Pho Mai Cheddar 28g 16x10</t>
        </is>
      </c>
      <c r="E27" s="5">
        <v>250</v>
      </c>
      <c r="F27" s="7">
        <v>15000</v>
      </c>
      <c r="G27" s="4" t="inlineStr">
        <is>
          <t>1000053</t>
        </is>
      </c>
      <c r="H27" s="4" t="inlineStr">
        <is>
          <t>Lay's Wavy vi Pho Mai Cheddar 28g 16x10</t>
        </is>
      </c>
      <c r="I27" s="7">
        <v>15000</v>
      </c>
      <c r="J27" s="9" t="inlineStr">
        <is>
          <t>confirmed</t>
        </is>
      </c>
      <c r="K27" s="12" t="inlineStr">
        <is>
          <t>Mã web đang được 2 dòng kho cùng sử dụng</t>
        </is>
      </c>
      <c r="L27" s="12" t="inlineStr">
        <is>
          <t>Đối chiếu tên/đơn vị/giá rồi xác nhận hoặc chọn lại</t>
        </is>
      </c>
    </row>
    <row r="28">
      <c r="A28" s="5">
        <v>24</v>
      </c>
      <c r="B28" s="16" t="inlineStr">
        <is>
          <t>CẦN DUYỆT</t>
        </is>
      </c>
      <c r="C28" s="4" t="inlineStr">
        <is>
          <t>NUOCYEN3VI</t>
        </is>
      </c>
      <c r="D28" s="4" t="inlineStr">
        <is>
          <t>Nước yến 3 vị</t>
        </is>
      </c>
      <c r="E28" s="5">
        <v>263</v>
      </c>
      <c r="F28" s="7">
        <v>75000</v>
      </c>
      <c r="G28" s="4" t="inlineStr">
        <is>
          <t>1100011</t>
        </is>
      </c>
      <c r="H28" s="4" t="inlineStr">
        <is>
          <t>NƯỚC YẾN</t>
        </is>
      </c>
      <c r="I28" s="7">
        <v>90000</v>
      </c>
      <c r="J28" s="10" t="inlineStr">
        <is>
          <t>review</t>
        </is>
      </c>
      <c r="K28" s="12" t="inlineStr">
        <is>
          <t>Ánh xạ chưa được xác nhận; Giá kho và giá web khác nhau</t>
        </is>
      </c>
      <c r="L28" s="12" t="inlineStr">
        <is>
          <t>Đối chiếu tên/đơn vị/giá rồi xác nhận hoặc chọn lại</t>
        </is>
      </c>
    </row>
    <row r="29">
      <c r="A29" s="5">
        <v>25</v>
      </c>
      <c r="B29" s="17" t="inlineStr">
        <is>
          <t>NGHIÊM TRỌNG</t>
        </is>
      </c>
      <c r="C29" s="4" t="inlineStr">
        <is>
          <t>BANHYAN2coc</t>
        </is>
      </c>
      <c r="D29" s="4" t="inlineStr">
        <is>
          <t>Bánh Yan Yan 44gr, 50gr</t>
        </is>
      </c>
      <c r="E29" s="5">
        <v>314</v>
      </c>
      <c r="F29" s="7">
        <v>30000</v>
      </c>
      <c r="G29" s="4" t="inlineStr">
        <is>
          <t>1100012</t>
        </is>
      </c>
      <c r="H29" s="4" t="inlineStr">
        <is>
          <t>NƯỚC YẾN LON</t>
        </is>
      </c>
      <c r="I29" s="7">
        <v>30000</v>
      </c>
      <c r="J29" s="11" t="inlineStr">
        <is>
          <t>unmatched</t>
        </is>
      </c>
      <c r="K29" s="12" t="inlineStr">
        <is>
          <t>Ánh xạ chưa được xác nhận; Mã web đang được 2 dòng kho cùng sử dụng</t>
        </is>
      </c>
      <c r="L29" s="12" t="inlineStr">
        <is>
          <t>Không cho phép bán; chọn lại mã web đúng</t>
        </is>
      </c>
    </row>
    <row r="30">
      <c r="A30" s="5">
        <v>26</v>
      </c>
      <c r="B30" s="16" t="inlineStr">
        <is>
          <t>CẦN DUYỆT</t>
        </is>
      </c>
      <c r="C30" s="4" t="inlineStr">
        <is>
          <t>BANHPEANUT45G</t>
        </is>
      </c>
      <c r="D30" s="4" t="inlineStr">
        <is>
          <t>Bánh xốp Loacker ClassicPeanut Butter 45g</t>
        </is>
      </c>
      <c r="E30" s="5">
        <v>321</v>
      </c>
      <c r="F30" s="7">
        <v>60000</v>
      </c>
      <c r="G30" s="4" t="inlineStr">
        <is>
          <t>1000033</t>
        </is>
      </c>
      <c r="H30" s="4" t="inlineStr">
        <is>
          <t>Loacker Bánh Xốp Kem 45g</t>
        </is>
      </c>
      <c r="I30" s="7">
        <v>60000</v>
      </c>
      <c r="J30" s="10" t="inlineStr">
        <is>
          <t>review</t>
        </is>
      </c>
      <c r="K30" s="12" t="inlineStr">
        <is>
          <t>Ánh xạ chưa được xác nhận; Mã web đang được 2 dòng kho cùng sử dụng</t>
        </is>
      </c>
      <c r="L30" s="12" t="inlineStr">
        <is>
          <t>Đối chiếu tên/đơn vị/giá rồi xác nhận hoặc chọn lại</t>
        </is>
      </c>
    </row>
    <row r="31">
      <c r="A31" s="5">
        <v>27</v>
      </c>
      <c r="B31" s="16" t="inlineStr">
        <is>
          <t>CẦN DUYỆT</t>
        </is>
      </c>
      <c r="C31" s="4" t="inlineStr">
        <is>
          <t>TLĐTL</t>
        </is>
      </c>
      <c r="D31" s="4" t="inlineStr">
        <is>
          <t>Thuốc lá điếu Thăng Long</t>
        </is>
      </c>
      <c r="E31" s="5">
        <v>475</v>
      </c>
      <c r="F31" s="7">
        <v>50000</v>
      </c>
      <c r="G31" s="4" t="inlineStr">
        <is>
          <t>1400007</t>
        </is>
      </c>
      <c r="H31" s="4" t="inlineStr">
        <is>
          <t>THUỐC LÁ 555</t>
        </is>
      </c>
      <c r="I31" s="7">
        <v>80000</v>
      </c>
      <c r="J31" s="10" t="inlineStr">
        <is>
          <t>review</t>
        </is>
      </c>
      <c r="K31" s="12" t="inlineStr">
        <is>
          <t>Ánh xạ chưa được xác nhận; Giá kho và giá web khác nhau; Mã web đang được 6 dòng kho cùng sử dụng</t>
        </is>
      </c>
      <c r="L31" s="12" t="inlineStr">
        <is>
          <t>Đối chiếu tên/đơn vị/giá rồi xác nhận hoặc chọn lại</t>
        </is>
      </c>
    </row>
    <row r="32">
      <c r="A32" s="5">
        <v>28</v>
      </c>
      <c r="B32" s="16" t="inlineStr">
        <is>
          <t>CẦN DUYỆT</t>
        </is>
      </c>
      <c r="C32" s="4" t="inlineStr">
        <is>
          <t>BANHXOPKEM</t>
        </is>
      </c>
      <c r="D32" s="4" t="inlineStr">
        <is>
          <t>Loacker Bánh Xốp Kem 45g</t>
        </is>
      </c>
      <c r="E32" s="5">
        <v>3739</v>
      </c>
      <c r="F32" s="7">
        <v>60000</v>
      </c>
      <c r="G32" s="4" t="inlineStr">
        <is>
          <t>1000033</t>
        </is>
      </c>
      <c r="H32" s="4" t="inlineStr">
        <is>
          <t>Loacker Bánh Xốp Kem 45g</t>
        </is>
      </c>
      <c r="I32" s="7">
        <v>60000</v>
      </c>
      <c r="J32" s="10" t="inlineStr">
        <is>
          <t>review</t>
        </is>
      </c>
      <c r="K32" s="12" t="inlineStr">
        <is>
          <t>Ánh xạ chưa được xác nhận; Mã web đang được 2 dòng kho cùng sử dụng</t>
        </is>
      </c>
      <c r="L32" s="12" t="inlineStr">
        <is>
          <t>Đối chiếu tên/đơn vị/giá rồi xác nhận hoặc chọn lại</t>
        </is>
      </c>
    </row>
    <row r="33">
      <c r="A33" s="5">
        <v>29</v>
      </c>
      <c r="B33" s="16" t="inlineStr">
        <is>
          <t>CẦN DUYỆT</t>
        </is>
      </c>
      <c r="C33" s="4" t="inlineStr">
        <is>
          <t>TC</t>
        </is>
      </c>
      <c r="D33" s="4" t="inlineStr">
        <is>
          <t>Hoa quả thập cẩm</t>
        </is>
      </c>
      <c r="E33" s="5">
        <v>0</v>
      </c>
      <c r="F33" s="7">
        <v>350000</v>
      </c>
      <c r="G33" s="4" t="inlineStr">
        <is>
          <t>1500006</t>
        </is>
      </c>
      <c r="H33" s="4" t="inlineStr">
        <is>
          <t>HOA QUẢ THẬP CẨM (Đĩa nhỏ)</t>
        </is>
      </c>
      <c r="I33" s="7">
        <v>350000</v>
      </c>
      <c r="J33" s="9" t="inlineStr">
        <is>
          <t>confirmed</t>
        </is>
      </c>
      <c r="K33" s="12" t="inlineStr">
        <is>
          <t>Hết tồn khả dụng</t>
        </is>
      </c>
      <c r="L33" s="12" t="inlineStr">
        <is>
          <t>Đối chiếu tên/đơn vị/giá rồi xác nhận hoặc chọn lại</t>
        </is>
      </c>
    </row>
    <row r="34">
      <c r="A34" s="5">
        <v>30</v>
      </c>
      <c r="B34" s="16" t="inlineStr">
        <is>
          <t>CẦN DUYỆT</t>
        </is>
      </c>
      <c r="C34" s="4" t="inlineStr">
        <is>
          <t>TCTO</t>
        </is>
      </c>
      <c r="D34" s="4" t="inlineStr">
        <is>
          <t>Hoa quả thập cẩm (to)</t>
        </is>
      </c>
      <c r="E34" s="5">
        <v>0</v>
      </c>
      <c r="F34" s="7">
        <v>450000</v>
      </c>
      <c r="G34" s="4" t="inlineStr">
        <is>
          <t>1500007</t>
        </is>
      </c>
      <c r="H34" s="4" t="inlineStr">
        <is>
          <t>HOA QUẢ THẬP CẨM (ĐĨA TO)</t>
        </is>
      </c>
      <c r="I34" s="7">
        <v>450000</v>
      </c>
      <c r="J34" s="9" t="inlineStr">
        <is>
          <t>confirmed</t>
        </is>
      </c>
      <c r="K34" s="12" t="inlineStr">
        <is>
          <t>Hết tồn khả dụng</t>
        </is>
      </c>
      <c r="L34" s="12" t="inlineStr">
        <is>
          <t>Đối chiếu tên/đơn vị/giá rồi xác nhận hoặc chọn lại</t>
        </is>
      </c>
    </row>
    <row r="35">
      <c r="A35" s="5">
        <v>31</v>
      </c>
      <c r="B35" s="16" t="inlineStr">
        <is>
          <t>CẦN DUYỆT</t>
        </is>
      </c>
      <c r="C35" s="4" t="inlineStr">
        <is>
          <t>KHANV1020</t>
        </is>
      </c>
      <c r="D35" s="4" t="inlineStr">
        <is>
          <t>Khăn ướt in máy màng bạc V1020</t>
        </is>
      </c>
      <c r="E35" s="5">
        <v>33703</v>
      </c>
      <c r="F35" s="7">
        <v>5000</v>
      </c>
      <c r="G35" s="4" t="inlineStr">
        <is>
          <t>1000030</t>
        </is>
      </c>
      <c r="H35" s="4" t="inlineStr">
        <is>
          <t>Khăn ướt V1020</t>
        </is>
      </c>
      <c r="I35" s="7">
        <v>5000</v>
      </c>
      <c r="J35" s="10" t="inlineStr">
        <is>
          <t>review</t>
        </is>
      </c>
      <c r="K35" s="12" t="inlineStr">
        <is>
          <t>Ánh xạ chưa được xác nhận</t>
        </is>
      </c>
      <c r="L35" s="12" t="inlineStr">
        <is>
          <t>Đối chiếu tên/đơn vị/giá rồi xác nhận hoặc chọn lại</t>
        </is>
      </c>
    </row>
  </sheetData>
  <autoFilter ref="A4:L35"/>
  <mergeCells count="2">
    <mergeCell ref="A1:L1"/>
    <mergeCell ref="A2:L2"/>
  </mergeCells>
  <pageMargins left="0.3" right="0.3" top="0.5" bottom="0.5" header="0.2" footer="0.2"/>
  <pageSetup orientation="landscape" fitToWidth="1" fitToHeight="0"/>
</worksheet>
</file>

<file path=xl/worksheets/sheet6.xml><?xml version="1.0" encoding="utf-8"?>
<worksheet xmlns="http://schemas.openxmlformats.org/spreadsheetml/2006/main">
  <dimension ref="A1:F12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0" customWidth="1"/>
    <col min="2" max="2" width="55" customWidth="1"/>
    <col min="3" max="3" width="55" customWidth="1"/>
    <col min="4" max="4" width="4" customWidth="1"/>
    <col min="5" max="5" width="4" customWidth="1"/>
    <col min="6" max="6" width="4" customWidth="1"/>
  </cols>
  <sheetData>
    <row r="1" ht="34" customHeight="1">
      <c r="A1" s="1" t="inlineStr">
        <is>
          <t>HƯỚNG DẪN KIỂM SOÁT DỮ LIỆU</t>
        </is>
      </c>
      <c r="B1" s="0" t="inlineStr">
        <is>
          <t/>
        </is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inlineStr">
        <is>
          <t/>
        </is>
      </c>
    </row>
    <row r="2">
      <c r="A2" s="2" t="inlineStr">
        <is>
          <t>Mục tiêu: kho quyết định mặt hàng và số lượng; web chỉ cung cấp mã/tên/đơn vị/giá để lập hóa đơn.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</row>
    <row r="3">
      <c r="A3" s="0" t="inlineStr">
        <is>
          <t/>
        </is>
      </c>
      <c r="B3" s="0" t="inlineStr">
        <is>
          <t/>
        </is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</row>
    <row r="4">
      <c r="A4" s="3" t="inlineStr">
        <is>
          <t>Bước</t>
        </is>
      </c>
      <c r="B4" s="3" t="inlineStr">
        <is>
          <t>Thực hiện</t>
        </is>
      </c>
      <c r="C4" s="3" t="inlineStr">
        <is>
          <t>Điều kiện đạt</t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</row>
    <row r="5">
      <c r="A5" s="5">
        <v>1</v>
      </c>
      <c r="B5" s="4" t="inlineStr">
        <is>
          <t>Cập nhật KhoT5.xlsx và data.xlsx mới nhất.</t>
        </is>
      </c>
      <c r="C5" s="4" t="inlineStr">
        <is>
          <t>Không thiếu cột mã, tên, đơn vị, số lượng/quy đổi và giá.</t>
        </is>
      </c>
      <c r="D5" s="0" t="inlineStr">
        <is>
          <t/>
        </is>
      </c>
      <c r="E5" s="0" t="inlineStr">
        <is>
          <t/>
        </is>
      </c>
      <c r="F5" s="0" t="inlineStr">
        <is>
          <t/>
        </is>
      </c>
    </row>
    <row r="6">
      <c r="A6" s="5">
        <v>2</v>
      </c>
      <c r="B6" s="4" t="inlineStr">
        <is>
          <t>Mở sheet Cần_xử_lý, lọc NGHIÊM TRỌNG rồi CẦN DUYỆT.</t>
        </is>
      </c>
      <c r="C6" s="4" t="inlineStr">
        <is>
          <t>Không còn dòng unmatched hoặc thiếu mã web.</t>
        </is>
      </c>
      <c r="D6" s="0" t="inlineStr">
        <is>
          <t/>
        </is>
      </c>
      <c r="E6" s="0" t="inlineStr">
        <is>
          <t/>
        </is>
      </c>
      <c r="F6" s="0" t="inlineStr">
        <is>
          <t/>
        </is>
      </c>
    </row>
    <row r="7">
      <c r="A7" s="5">
        <v>3</v>
      </c>
      <c r="B7" s="4" t="inlineStr">
        <is>
          <t>Đối chiếu từng dòng tại Ánh_xạ_Kho_Web.</t>
        </is>
      </c>
      <c r="C7" s="4" t="inlineStr">
        <is>
          <t>Tên/ĐVT/giá hợp lý; mã web tồn tại trong Danh_mục_Web.</t>
        </is>
      </c>
      <c r="D7" s="0" t="inlineStr">
        <is>
          <t/>
        </is>
      </c>
      <c r="E7" s="0" t="inlineStr">
        <is>
          <t/>
        </is>
      </c>
      <c r="F7" s="0" t="inlineStr">
        <is>
          <t/>
        </is>
      </c>
    </row>
    <row r="8">
      <c r="A8" s="5">
        <v>4</v>
      </c>
      <c r="B8" s="4" t="inlineStr">
        <is>
          <t>Chọn Quyết định kiểm soát và ghi chú kế toán.</t>
        </is>
      </c>
      <c r="C8" s="4" t="inlineStr">
        <is>
          <t>Chỉ GIỮ NGUYÊN với dòng đủ điều kiện; dòng sai phải CẦN SỬA hoặc LOẠI KHỎI BÁN.</t>
        </is>
      </c>
      <c r="D8" s="0" t="inlineStr">
        <is>
          <t/>
        </is>
      </c>
      <c r="E8" s="0" t="inlineStr">
        <is>
          <t/>
        </is>
      </c>
      <c r="F8" s="0" t="inlineStr">
        <is>
          <t/>
        </is>
      </c>
    </row>
    <row r="9">
      <c r="A9" s="5">
        <v>5</v>
      </c>
      <c r="B9" s="4" t="inlineStr">
        <is>
          <t>Nhập dữ liệu đã duyệt vào extension.</t>
        </is>
      </c>
      <c r="C9" s="4" t="inlineStr">
        <is>
          <t>Extension chỉ dùng confirmed + tồn dương + mã/giá web hợp lệ.</t>
        </is>
      </c>
      <c r="D9" s="0" t="inlineStr">
        <is>
          <t/>
        </is>
      </c>
      <c r="E9" s="0" t="inlineStr">
        <is>
          <t/>
        </is>
      </c>
      <c r="F9" s="0" t="inlineStr">
        <is>
          <t/>
        </is>
      </c>
    </row>
    <row r="10">
      <c r="A10" s="0" t="inlineStr">
        <is>
          <t/>
        </is>
      </c>
      <c r="B10" s="0" t="inlineStr">
        <is>
          <t/>
        </is>
      </c>
      <c r="C10" s="0" t="inlineStr">
        <is>
          <t/>
        </is>
      </c>
      <c r="D10" s="0" t="inlineStr">
        <is>
          <t/>
        </is>
      </c>
      <c r="E10" s="0" t="inlineStr">
        <is>
          <t/>
        </is>
      </c>
      <c r="F10" s="0" t="inlineStr">
        <is>
          <t/>
        </is>
      </c>
    </row>
    <row r="11">
      <c r="A11" s="3" t="inlineStr">
        <is>
          <t>Quy tắc bắt buộc</t>
        </is>
      </c>
      <c r="B11" s="0" t="inlineStr">
        <is>
          <t/>
        </is>
      </c>
      <c r="C11" s="0" t="inlineStr">
        <is>
          <t/>
        </is>
      </c>
      <c r="D11" s="0" t="inlineStr">
        <is>
          <t/>
        </is>
      </c>
      <c r="E11" s="0" t="inlineStr">
        <is>
          <t/>
        </is>
      </c>
      <c r="F11" s="0" t="inlineStr">
        <is>
          <t/>
        </is>
      </c>
    </row>
    <row r="12">
      <c r="A12" s="12" t="inlineStr">
        <is>
          <t>• Không dùng hàng chỉ có trên web nhưng không còn trong kho.
• Không lấy hàng cũ trên hóa đơn làm nguồn tồn.
• Một mã kho phải có quyết định kiểm soát rõ ràng.
• Mặt hàng hoa quả TC/TCTO là tồn theo từng hóa đơn, mỗi hóa đơn tối đa một đĩa theo rule đã cấu hình.
• Không dùng giảm giá để khớp tổng tiền.</t>
        </is>
      </c>
      <c r="B12" s="0" t="inlineStr">
        <is>
          <t/>
        </is>
      </c>
      <c r="C12" s="0" t="inlineStr">
        <is>
          <t/>
        </is>
      </c>
      <c r="D12" s="0" t="inlineStr">
        <is>
          <t/>
        </is>
      </c>
      <c r="E12" s="0" t="inlineStr">
        <is>
          <t/>
        </is>
      </c>
      <c r="F12" s="0" t="inlineStr">
        <is>
          <t/>
        </is>
      </c>
    </row>
  </sheetData>
  <mergeCells count="4">
    <mergeCell ref="A1:F1"/>
    <mergeCell ref="A2:F2"/>
    <mergeCell ref="A11:F11"/>
    <mergeCell ref="A12:F16"/>
  </mergeCells>
  <pageMargins left="0.3" right="0.3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Tong_quan</vt:lpstr>
      <vt:lpstr>Anh_xa_Kho_Web</vt:lpstr>
      <vt:lpstr>Kho_chuan_hoa</vt:lpstr>
      <vt:lpstr>Danh_muc_Web</vt:lpstr>
      <vt:lpstr>Can_xu_ly</vt:lpstr>
      <vt:lpstr>Huong_dan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Kiểm soát chuẩn hóa dữ liệu Kho - Web</dc:title>
  <dc:creator>Codex</dc:creator>
  <cp:lastModifiedBy>Codex</cp:lastModifiedBy>
  <dcterms:created xsi:type="dcterms:W3CDTF">2026-07-23T16:52:07Z</dcterms:created>
  <dcterms:modified xsi:type="dcterms:W3CDTF">2026-07-23T16:52:07Z</dcterms:modified>
</cp:coreProperties>
</file>